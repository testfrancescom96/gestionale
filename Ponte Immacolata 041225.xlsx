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 activeTab="1"/>
  </bookViews>
  <sheets>
    <sheet name="ORDINE_FOGLI" sheetId="1" state="hidden" r:id="rId1"/>
    <sheet name="Ponte Immacolata 0412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<sst xmlns="http://schemas.openxmlformats.org/spreadsheetml/2006/main" count="638" uniqueCount="372">
  <si>
    <t>Ponte Immacolata 04/12/25</t>
  </si>
  <si>
    <t>Riordino completato in 7.39s · Spostamenti: 11 · Elencati: 8 · Non elencati: 2 · Mancanti: 0</t>
  </si>
  <si>
    <t>Selva di Valgardena 10/12/2025</t>
  </si>
  <si>
    <t>Capodanno Dolomiti 26/12/2025</t>
  </si>
  <si>
    <t>Capodanno Bardonecchia 29/12/2025</t>
  </si>
  <si>
    <t>Luxury - Epifania 04/01/2026</t>
  </si>
  <si>
    <t>Madonna di Campiglio 17/01/2026</t>
  </si>
  <si>
    <t>Luxury e SPA - 25/03/2026</t>
  </si>
  <si>
    <t>strutture 26/27</t>
  </si>
  <si>
    <t>NOTE</t>
  </si>
  <si>
    <t>Ungari doppia ha già pagato ma è in attesa 3473083904 ordine numero 39723  doppia        amica di clinco        angelone (3351331362)
doppia        gianfranco acampora        
doppia        338 239 9159        
tripla        3351211807        
tripla         327 136 5356         Maria Alessandra Parente 2 adfulti una ragazza 11 anni       
3 doppie CARMEN RAGO //// Massimo Di Paolo 338 631 6893‬ 
Singola od eventualmente in doppia con qualcuno “a modo” (interessato anche a settimana 10 dic)
   ///camera per andrea marconi (comunicato da mattia in chat)
Doppia     Gloria Chiavetta   3286991529</t>
  </si>
  <si>
    <t>#</t>
  </si>
  <si>
    <t>ID</t>
  </si>
  <si>
    <t>COGNOME</t>
  </si>
  <si>
    <t>NOME</t>
  </si>
  <si>
    <t>TELEFONO</t>
  </si>
  <si>
    <t>Email Passeggero</t>
  </si>
  <si>
    <t>TIPOLOGIA CAMERA</t>
  </si>
  <si>
    <t>SALDO</t>
  </si>
  <si>
    <t>Codice Fiscale Passeggero</t>
  </si>
  <si>
    <t>Luogo di nascita</t>
  </si>
  <si>
    <t>Provincia Nascita</t>
  </si>
  <si>
    <t>Data Nascita Passeggero</t>
  </si>
  <si>
    <t>Allergie Passeggero</t>
  </si>
  <si>
    <t>EXTRA</t>
  </si>
  <si>
    <t>TRASPORTO</t>
  </si>
  <si>
    <t>Residenza</t>
  </si>
  <si>
    <t>ASSICURAZIONE</t>
  </si>
  <si>
    <t>Extra</t>
  </si>
  <si>
    <t>Extracted Time</t>
  </si>
  <si>
    <t>Di Pietrantonio</t>
  </si>
  <si>
    <t>Massimo</t>
  </si>
  <si>
    <t>massimo.dipietrantonio@tin.it</t>
  </si>
  <si>
    <t>Singola</t>
  </si>
  <si>
    <t>accompagnatore</t>
  </si>
  <si>
    <t>DPTMSM58L31A271I</t>
  </si>
  <si>
    <t>ANCONA</t>
  </si>
  <si>
    <t>AN</t>
  </si>
  <si>
    <t>INVENTARIO (dettaglio)</t>
  </si>
  <si>
    <t>Santarelli</t>
  </si>
  <si>
    <t>Rocco</t>
  </si>
  <si>
    <t>rocco@santarellipescara.it</t>
  </si>
  <si>
    <t>-</t>
  </si>
  <si>
    <t>bon verificato</t>
  </si>
  <si>
    <t>SNTRCC70L20G482L</t>
  </si>
  <si>
    <t>PESCARA</t>
  </si>
  <si>
    <t>PE</t>
  </si>
  <si>
    <t>no tesserea fisi</t>
  </si>
  <si>
    <t>NO</t>
  </si>
  <si>
    <t>VIA G. SAVONAROLA n. 20 65127 pescara</t>
  </si>
  <si>
    <t>Categoria</t>
  </si>
  <si>
    <t>Prenotate</t>
  </si>
  <si>
    <t>Disponibili</t>
  </si>
  <si>
    <t>Libere</t>
  </si>
  <si>
    <t>LA VALLE</t>
  </si>
  <si>
    <t>ANTONELLO</t>
  </si>
  <si>
    <t>Dus</t>
  </si>
  <si>
    <t>HA DATO ACCONTO CON AON , VERIFICARE SE CHIEDE RIMBORSO pagato con AON 1140 DA RICOLLEGARE DA RAPPORTINI</t>
  </si>
  <si>
    <t>LVLNNL64R10G482A</t>
  </si>
  <si>
    <t>AMOROSO</t>
  </si>
  <si>
    <t>EUGENIO</t>
  </si>
  <si>
    <t>eugenio.amoroso@libero.it</t>
  </si>
  <si>
    <t>ha pagato in agenzia</t>
  </si>
  <si>
    <t>MRSGNE60M01G482I</t>
  </si>
  <si>
    <t>TESSERA FISI</t>
  </si>
  <si>
    <t>VIA PALERMO, 8 pescara</t>
  </si>
  <si>
    <t>Falasca</t>
  </si>
  <si>
    <t>Maria Antonietta</t>
  </si>
  <si>
    <t>mafalasca@hotmail.it</t>
  </si>
  <si>
    <t>volendo può andare in stanza con un'altra persone, NO PAGAMENTO</t>
  </si>
  <si>
    <t>FLSMNT54T45G482H</t>
  </si>
  <si>
    <t>Doppia</t>
  </si>
  <si>
    <t>Stefkova</t>
  </si>
  <si>
    <t>Ivana</t>
  </si>
  <si>
    <t>ivana.st@hotmail.it</t>
  </si>
  <si>
    <t>STFVNI70A53Z155K</t>
  </si>
  <si>
    <t>SLOVACCHIA</t>
  </si>
  <si>
    <t>EE</t>
  </si>
  <si>
    <t>Tripla</t>
  </si>
  <si>
    <t>Tuttopetto</t>
  </si>
  <si>
    <t>Gianluca</t>
  </si>
  <si>
    <t>TTTGLC73D02D773V</t>
  </si>
  <si>
    <t>Frascati</t>
  </si>
  <si>
    <t>RM</t>
  </si>
  <si>
    <t>Quadrupla</t>
  </si>
  <si>
    <t>Renzetti</t>
  </si>
  <si>
    <t>Luigi</t>
  </si>
  <si>
    <t>PAGA 410€</t>
  </si>
  <si>
    <t>RNZLGU68M31G482G</t>
  </si>
  <si>
    <t>Pescara</t>
  </si>
  <si>
    <t>VIA DANTE 28/B cappelle sul tavo</t>
  </si>
  <si>
    <t>giansante</t>
  </si>
  <si>
    <t>mattia</t>
  </si>
  <si>
    <t>mattiagiansante86@gmail.com</t>
  </si>
  <si>
    <t>GNSMTT86B13E243I</t>
  </si>
  <si>
    <t>Guardiagrele</t>
  </si>
  <si>
    <t>CH</t>
  </si>
  <si>
    <t>rucci</t>
  </si>
  <si>
    <t>terenzio</t>
  </si>
  <si>
    <t>terenziorucci@gmail.com</t>
  </si>
  <si>
    <t>RCCTNZ86B03E435K</t>
  </si>
  <si>
    <t>Lanciano</t>
  </si>
  <si>
    <t>VIA BARBELLA 38 FRANCAVILLA AL MARE 66023</t>
  </si>
  <si>
    <t>tuttopetto</t>
  </si>
  <si>
    <t>stefano</t>
  </si>
  <si>
    <t>no pagamento</t>
  </si>
  <si>
    <t>TTTSFN12B25G482G</t>
  </si>
  <si>
    <t>lorenzo</t>
  </si>
  <si>
    <t>TTTLNZ12B09C632V</t>
  </si>
  <si>
    <t>CHIETI</t>
  </si>
  <si>
    <t>Comentale</t>
  </si>
  <si>
    <t>Pasquale</t>
  </si>
  <si>
    <t>pasquale.comentale@libero.it</t>
  </si>
  <si>
    <t>Cmnpql72a15c129y</t>
  </si>
  <si>
    <t>castellammare di stabia</t>
  </si>
  <si>
    <t>NA</t>
  </si>
  <si>
    <t>CMNLGU04D05L845Z</t>
  </si>
  <si>
    <t>VICO EQUENSE</t>
  </si>
  <si>
    <t>Sodano</t>
  </si>
  <si>
    <t>Angelo Raffaele</t>
  </si>
  <si>
    <t>a.raffaelesodano@gmail.com</t>
  </si>
  <si>
    <t>Vorrei stanza piano alto con balcone se possibile
bonifico controllato</t>
  </si>
  <si>
    <t>Sdnnlr64t23f839d</t>
  </si>
  <si>
    <t>Napoli</t>
  </si>
  <si>
    <t>Nessuna</t>
  </si>
  <si>
    <t>FISI SI</t>
  </si>
  <si>
    <t>Viale del Poggio di Capodimonte 15 NAPOLI</t>
  </si>
  <si>
    <t>Giovanni</t>
  </si>
  <si>
    <t>giosodano04@gmail.com</t>
  </si>
  <si>
    <t>Vorrei stanza piano alto con balcone se possibile</t>
  </si>
  <si>
    <t>Sdngnn04t19f839f</t>
  </si>
  <si>
    <t>Terrenzio</t>
  </si>
  <si>
    <t>Marialuisa</t>
  </si>
  <si>
    <t>MARIALUISA.TERRENZIO@GMAIL.COM</t>
  </si>
  <si>
    <t>pagato sul sito + notte aggiuntiva 8/12
bon verificato</t>
  </si>
  <si>
    <t>TRRMLS93E57D643B</t>
  </si>
  <si>
    <t>FOGGIA</t>
  </si>
  <si>
    <t>FG</t>
  </si>
  <si>
    <t>via Salvatore Tugini 31 FOGGIA</t>
  </si>
  <si>
    <t>Mosca</t>
  </si>
  <si>
    <t>Cecilia</t>
  </si>
  <si>
    <t>cecifly06@gmail.com</t>
  </si>
  <si>
    <t>()ha prenotato con iuso  bonifico no notte aggiuntiva</t>
  </si>
  <si>
    <t>MSCCCL06S69G482D</t>
  </si>
  <si>
    <t>Chiavarini</t>
  </si>
  <si>
    <t>Donatella</t>
  </si>
  <si>
    <t>d.chiavarini@gmail.com</t>
  </si>
  <si>
    <t>bon controllato</t>
  </si>
  <si>
    <t>CHVDTL68M62G482A</t>
  </si>
  <si>
    <t>De Francesco</t>
  </si>
  <si>
    <t>Barbara</t>
  </si>
  <si>
    <t>barbidefrancesco@gmail.com</t>
  </si>
  <si>
    <t>DFRBBR64R46C632F</t>
  </si>
  <si>
    <t>latticini</t>
  </si>
  <si>
    <t>CELSO</t>
  </si>
  <si>
    <t>TOMMASO</t>
  </si>
  <si>
    <t>la valle 1 pagamento aon 2436€ + 2 pagamento 365€</t>
  </si>
  <si>
    <t>CLSTMS76S06G482F</t>
  </si>
  <si>
    <t>PIETRO</t>
  </si>
  <si>
    <t xml:space="preserve">tommaso celso ha pagato 300€ acconto,con pos vedi prima nota luglio </t>
  </si>
  <si>
    <t>CLSPTR09C24G482Y</t>
  </si>
  <si>
    <t>GIORGIO</t>
  </si>
  <si>
    <t>giorgio_lavalle_93@hotmail.it</t>
  </si>
  <si>
    <t>NO PAGAMENTO paga con aon la valle antonello 2436€ (saldo due camere)</t>
  </si>
  <si>
    <t>LVLGRG93T13G482T</t>
  </si>
  <si>
    <t>CIVITA</t>
  </si>
  <si>
    <t>ALESSANDRA</t>
  </si>
  <si>
    <t>alecivita24@gmail.com</t>
  </si>
  <si>
    <t>CVTLSN94P64B619B</t>
  </si>
  <si>
    <t>Canosa Di Puglia</t>
  </si>
  <si>
    <t>BA</t>
  </si>
  <si>
    <t>Mastromauro</t>
  </si>
  <si>
    <t>Francesca</t>
  </si>
  <si>
    <t>Info@agenziamastromauro.it</t>
  </si>
  <si>
    <t>MSTFNC75C42G482L</t>
  </si>
  <si>
    <t>? ASSICURAZIONE</t>
  </si>
  <si>
    <t>sì</t>
  </si>
  <si>
    <t>via Garibaldi 12a spoltore</t>
  </si>
  <si>
    <t>Toro</t>
  </si>
  <si>
    <t>Margherita</t>
  </si>
  <si>
    <t>TROMGH11R61G482P</t>
  </si>
  <si>
    <t>Wieczorek</t>
  </si>
  <si>
    <t>Anna Magdalena</t>
  </si>
  <si>
    <t>anna@alimentazionequilibrata.it</t>
  </si>
  <si>
    <t>WCZNMG82A60Z127B</t>
  </si>
  <si>
    <t>POLONIA</t>
  </si>
  <si>
    <t>VIA DEL SANTUARIO 426/3 pescara</t>
  </si>
  <si>
    <t>Muriana</t>
  </si>
  <si>
    <t>Camilla</t>
  </si>
  <si>
    <t>MRNCLL11R67C632Z</t>
  </si>
  <si>
    <t>DE SIMONE</t>
  </si>
  <si>
    <t>DANIEL</t>
  </si>
  <si>
    <t>desimonedaniel@libero.it</t>
  </si>
  <si>
    <t>DSMDNL76R21G482O</t>
  </si>
  <si>
    <t>no</t>
  </si>
  <si>
    <t>Pescara Ovest</t>
  </si>
  <si>
    <t>ia tirino,296 65129 Pescara</t>
  </si>
  <si>
    <t>si</t>
  </si>
  <si>
    <t>DIEGO</t>
  </si>
  <si>
    <t>DSMDGI12D10G482E</t>
  </si>
  <si>
    <t>Di Berardino</t>
  </si>
  <si>
    <t>Mario</t>
  </si>
  <si>
    <t>335281456 3922427245</t>
  </si>
  <si>
    <t>rsintermediario@gmail.com</t>
  </si>
  <si>
    <t>DBRMRA71B19A488I</t>
  </si>
  <si>
    <t>ATRI</t>
  </si>
  <si>
    <t>TE</t>
  </si>
  <si>
    <t>VIA MONFALCONE, 9 pescara</t>
  </si>
  <si>
    <t>Saraceni</t>
  </si>
  <si>
    <t>Rita</t>
  </si>
  <si>
    <t>rita.saraceni1972@gmail.com</t>
  </si>
  <si>
    <t>NO SKIPASS resta da PAGARE 410€</t>
  </si>
  <si>
    <t>SRCRTI72C51E435B</t>
  </si>
  <si>
    <t>LANCIANO</t>
  </si>
  <si>
    <t>Ungari</t>
  </si>
  <si>
    <t>DANILO MARIO</t>
  </si>
  <si>
    <t>DANILO.UNGARI@GMAIL.COM</t>
  </si>
  <si>
    <t>NGRDLM78D27F205X</t>
  </si>
  <si>
    <t>MILANO</t>
  </si>
  <si>
    <t>MI</t>
  </si>
  <si>
    <t>MARGHERITA</t>
  </si>
  <si>
    <t>NGRMGH10B64F205C</t>
  </si>
  <si>
    <t>VIA CORRIDONI 212 SESTO SAN GIOVANNI</t>
  </si>
  <si>
    <t>IUSO</t>
  </si>
  <si>
    <t>Antonella</t>
  </si>
  <si>
    <t>antonella.iuso@pfizer.com</t>
  </si>
  <si>
    <t>bon iuso + notte aggiuntiva</t>
  </si>
  <si>
    <t>SIUNNL77D51D643P</t>
  </si>
  <si>
    <t>Roberto</t>
  </si>
  <si>
    <t>romo@lundbeck.com</t>
  </si>
  <si>
    <t>MSCRRT78E12G482X</t>
  </si>
  <si>
    <t>PESCE</t>
  </si>
  <si>
    <t>Marcello</t>
  </si>
  <si>
    <t>Loris</t>
  </si>
  <si>
    <t>lorismarcello@gmail.com</t>
  </si>
  <si>
    <t>MRCLRS68B14C632F</t>
  </si>
  <si>
    <t>Gentile</t>
  </si>
  <si>
    <t>Lorenzo</t>
  </si>
  <si>
    <t>lorenzo.gentil79@gmail.com</t>
  </si>
  <si>
    <t>paga 410€ no skipass
la quarta persona è incerta</t>
  </si>
  <si>
    <t>GNTLNZ79B03A488L</t>
  </si>
  <si>
    <t>Scurti</t>
  </si>
  <si>
    <t>Patrick</t>
  </si>
  <si>
    <t>patrick.pescara@gmail.com</t>
  </si>
  <si>
    <t>pagato con aon anche saldo 515€/ VUOLE ANDARE IN CAMERA CON SCURTI   MIRABILIO MIRCO O UNA SINGOLA 3482746535</t>
  </si>
  <si>
    <t>Mirabilio</t>
  </si>
  <si>
    <t>Mirco</t>
  </si>
  <si>
    <t>mirco.mirabilio@gmail.com</t>
  </si>
  <si>
    <t>scrivere ALTRO NELLA FATTURA TIPO TRASFERTA VITTO ALLOGGIO
P. IVA 02388120681</t>
  </si>
  <si>
    <t>MRBMRC73P23G482N</t>
  </si>
  <si>
    <t>pescara</t>
  </si>
  <si>
    <t>pe</t>
  </si>
  <si>
    <t>VIA SELE 12/B MONTESILVANO</t>
  </si>
  <si>
    <t xml:space="preserve">Cirelli </t>
  </si>
  <si>
    <t>Francesco</t>
  </si>
  <si>
    <t>Francescocirelli@hotmail.com</t>
  </si>
  <si>
    <t>hanno assicurazione annullamento</t>
  </si>
  <si>
    <t>CRLFNC80A04E243Y</t>
  </si>
  <si>
    <t>Pepe</t>
  </si>
  <si>
    <t xml:space="preserve">Francesco Cirelli
Via Sulmona 17
65123 pescara
p.iva 01692630682
M5UXCR1
Agricola.cirelli@pec.it </t>
  </si>
  <si>
    <t>Palazzo Adriano</t>
  </si>
  <si>
    <t>Michela</t>
  </si>
  <si>
    <t>Michelapalazzoadriano@gmail.com</t>
  </si>
  <si>
    <t>dati online, ma pagamento confermato</t>
  </si>
  <si>
    <t>PLZMHL80R65G273S</t>
  </si>
  <si>
    <t>PALERMO</t>
  </si>
  <si>
    <t>PA</t>
  </si>
  <si>
    <t>Stella</t>
  </si>
  <si>
    <t>CRLSLL15R65C632M</t>
  </si>
  <si>
    <t>flavia</t>
  </si>
  <si>
    <t>NO PAGAMENTO</t>
  </si>
  <si>
    <t>TTTFLV09T66G482U</t>
  </si>
  <si>
    <t>renzetti</t>
  </si>
  <si>
    <t>serena</t>
  </si>
  <si>
    <t>serenarenzetti05@icloud.com</t>
  </si>
  <si>
    <t>RNZSRN05M60G482M</t>
  </si>
  <si>
    <t>chiara</t>
  </si>
  <si>
    <t>RNZCHR10R51G482R</t>
  </si>
  <si>
    <t>Lepore</t>
  </si>
  <si>
    <t>cristinalepore95@gmail.com</t>
  </si>
  <si>
    <t>1 notte extra andare via il 9</t>
  </si>
  <si>
    <t>LPRLGU64C02C858R</t>
  </si>
  <si>
    <t>COLLEFERRO</t>
  </si>
  <si>
    <t>Via terenzio, 12 Milano</t>
  </si>
  <si>
    <t>Maria Chiara</t>
  </si>
  <si>
    <t>mariachiara.lepore@gmail.com</t>
  </si>
  <si>
    <t>LPRMCH92C41I577Y</t>
  </si>
  <si>
    <t>SEGRATE</t>
  </si>
  <si>
    <t>Roselli</t>
  </si>
  <si>
    <t>RSLLGU18C20F205L</t>
  </si>
  <si>
    <t>Boggia</t>
  </si>
  <si>
    <t>Bartolomeo</t>
  </si>
  <si>
    <t>dr.boggia@me.com</t>
  </si>
  <si>
    <t>bonifico controllato</t>
  </si>
  <si>
    <t>BGGBTL78E29F839W</t>
  </si>
  <si>
    <t>NAPOLI</t>
  </si>
  <si>
    <t>CORSO GIUSEPPE GARIBALDI 67 80021 AFRAGOLA (NA)</t>
  </si>
  <si>
    <t>Rosa</t>
  </si>
  <si>
    <t>BGGRSO12D56F839L</t>
  </si>
  <si>
    <t>Anronella</t>
  </si>
  <si>
    <t>Bggnnl09a64f839j</t>
  </si>
  <si>
    <t>Nanni</t>
  </si>
  <si>
    <t>Fabio</t>
  </si>
  <si>
    <t>fabionanni.74@gmail.com</t>
  </si>
  <si>
    <t>Nnnfba74s29z133t</t>
  </si>
  <si>
    <t>SVIZZERA</t>
  </si>
  <si>
    <t>VIA VESTINA 191/D, MONTESILVANO</t>
  </si>
  <si>
    <t>De Angelis</t>
  </si>
  <si>
    <t>Paola</t>
  </si>
  <si>
    <t>paola.dea75@libero.it</t>
  </si>
  <si>
    <t>Dngpla75s70g482u</t>
  </si>
  <si>
    <t>Emma Dea</t>
  </si>
  <si>
    <t>Nnnmmd08r64g482q</t>
  </si>
  <si>
    <t>BUCCIARELLI</t>
  </si>
  <si>
    <t>GIUSEPPE</t>
  </si>
  <si>
    <t>giuseppebucciarelli@tin.it</t>
  </si>
  <si>
    <t>BCCGPP65B20C632B</t>
  </si>
  <si>
    <t>KIWI</t>
  </si>
  <si>
    <t>fisi si</t>
  </si>
  <si>
    <t>CLINCO</t>
  </si>
  <si>
    <t>RICCARDO</t>
  </si>
  <si>
    <t>riccardo.clinco@gmail.com</t>
  </si>
  <si>
    <t>CLNRCR63T30F205E</t>
  </si>
  <si>
    <t>Viale bovio 134,Pescara,65123</t>
  </si>
  <si>
    <t>EVANGELISTA</t>
  </si>
  <si>
    <t>ROBERTO</t>
  </si>
  <si>
    <t>vestinadental@virgilio.it</t>
  </si>
  <si>
    <t>bonifico verificato</t>
  </si>
  <si>
    <t>VNGRRT68S28G438T</t>
  </si>
  <si>
    <t>PENNE</t>
  </si>
  <si>
    <t>Pacchione</t>
  </si>
  <si>
    <t>Luca</t>
  </si>
  <si>
    <t>lpacchione@gmail.com</t>
  </si>
  <si>
    <t>PCCLCU67C02G482C</t>
  </si>
  <si>
    <t>Gurrieri</t>
  </si>
  <si>
    <t>Giulia</t>
  </si>
  <si>
    <t>giuliagurrieri@gmail.com</t>
  </si>
  <si>
    <t>bon 1263€</t>
  </si>
  <si>
    <t>GRRGLI73P61A944R</t>
  </si>
  <si>
    <t>BOLOGNA</t>
  </si>
  <si>
    <t>BO</t>
  </si>
  <si>
    <t>Filippo</t>
  </si>
  <si>
    <t>PCCFPP11C03G482W</t>
  </si>
  <si>
    <t>Andrea</t>
  </si>
  <si>
    <t>amarcello610@gmail.com</t>
  </si>
  <si>
    <t>MRCNDR05B08G482A</t>
  </si>
  <si>
    <t>Alessio</t>
  </si>
  <si>
    <t>MRCLSS08L08G482L</t>
  </si>
  <si>
    <t>Forlano</t>
  </si>
  <si>
    <t>roccoforlano95@gmail.com</t>
  </si>
  <si>
    <t>TRIPLA, SONO TRE PERSONE ALTE</t>
  </si>
  <si>
    <t>FRLRCC04M12E243D</t>
  </si>
  <si>
    <t>guardiagrele</t>
  </si>
  <si>
    <t>pescara lago isoletta 21</t>
  </si>
  <si>
    <t>iarussi</t>
  </si>
  <si>
    <t>enrico</t>
  </si>
  <si>
    <t>enricoiarussi@hotmail.it</t>
  </si>
  <si>
    <t>bonifico verificato 884€ + altri 884€ in agenzia</t>
  </si>
  <si>
    <t>rssnrc97d14g141m</t>
  </si>
  <si>
    <t>ORTONA</t>
  </si>
  <si>
    <t>via dei marrucini 5 PESCARA</t>
  </si>
  <si>
    <t>castagna cupello</t>
  </si>
  <si>
    <t>andrea</t>
  </si>
  <si>
    <t>icupe@icloud.com</t>
  </si>
  <si>
    <t>cplndr98a05z127s</t>
  </si>
  <si>
    <t>giulio</t>
  </si>
  <si>
    <t>cupellogiulio@gmail.com</t>
  </si>
  <si>
    <t>cplgli91m16g482w</t>
  </si>
  <si>
    <t>mario</t>
  </si>
  <si>
    <t>cupellom@gmail.com</t>
  </si>
  <si>
    <t>CPLMRA89T21F205H</t>
  </si>
  <si>
    <t>NO TESSERA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</si>
</sst>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/m"/>
    <numFmt numFmtId="179" formatCode="hh:mm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0"/>
      <color theme="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1F3F9"/>
        <bgColor rgb="FFF1F3F9"/>
      </patternFill>
    </fill>
    <fill>
      <patternFill patternType="solid">
        <fgColor rgb="FFFFF7D6"/>
        <bgColor rgb="FFFFF7D6"/>
      </patternFill>
    </fill>
    <fill>
      <patternFill patternType="solid">
        <fgColor rgb="FFFFFAE8"/>
        <bgColor rgb="FFFFFAE8"/>
      </patternFill>
    </fill>
    <fill>
      <patternFill patternType="solid">
        <fgColor rgb="FFA7C7FF"/>
        <bgColor rgb="FFA7C7FF"/>
      </patternFill>
    </fill>
    <fill>
      <patternFill patternType="solid">
        <fgColor rgb="FFFFFFFF"/>
        <bgColor rgb="FFFFFFFF"/>
      </patternFill>
    </fill>
    <fill>
      <patternFill patternType="solid">
        <fgColor rgb="FFCFE3FF"/>
        <bgColor rgb="FFCFE3FF"/>
      </patternFill>
    </fill>
    <fill>
      <patternFill patternType="solid">
        <fgColor rgb="FFDCE6FF"/>
        <bgColor rgb="FFDCE6FF"/>
      </patternFill>
    </fill>
    <fill>
      <patternFill patternType="solid">
        <fgColor rgb="FFEEF3FF"/>
        <bgColor rgb="FFEEF3FF"/>
      </patternFill>
    </fill>
    <fill>
      <patternFill patternType="solid">
        <fgColor rgb="FFFFF4CC"/>
        <bgColor rgb="FFFFF4CC"/>
      </patternFill>
    </fill>
    <fill>
      <patternFill patternType="solid">
        <fgColor rgb="FFE6F4EA"/>
        <bgColor rgb="FFE6F4EA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E6FFE6"/>
        <bgColor rgb="FFE6FF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12" applyNumberFormat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18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4" borderId="4" xfId="0" applyFont="1" applyFill="1" applyBorder="1" applyAlignment="1">
      <alignment vertical="top" wrapText="1"/>
    </xf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5" borderId="1" xfId="0" applyFont="1" applyFill="1" applyBorder="1"/>
    <xf numFmtId="0" fontId="2" fillId="5" borderId="2" xfId="0" applyFont="1" applyFill="1" applyBorder="1"/>
    <xf numFmtId="0" fontId="1" fillId="2" borderId="0" xfId="0" applyFont="1" applyFill="1" applyAlignment="1"/>
    <xf numFmtId="178" fontId="1" fillId="0" borderId="4" xfId="0" applyNumberFormat="1" applyFont="1" applyBorder="1" applyAlignment="1"/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58" fontId="4" fillId="6" borderId="0" xfId="0" applyNumberFormat="1" applyFont="1" applyFill="1" applyAlignment="1">
      <alignment horizontal="left" vertical="center"/>
    </xf>
    <xf numFmtId="58" fontId="4" fillId="7" borderId="0" xfId="0" applyNumberFormat="1" applyFont="1" applyFill="1" applyAlignment="1">
      <alignment horizontal="left" vertical="center"/>
    </xf>
    <xf numFmtId="0" fontId="2" fillId="5" borderId="3" xfId="0" applyFont="1" applyFill="1" applyBorder="1"/>
    <xf numFmtId="179" fontId="4" fillId="6" borderId="5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/>
    <xf numFmtId="0" fontId="5" fillId="8" borderId="2" xfId="0" applyFont="1" applyFill="1" applyBorder="1"/>
    <xf numFmtId="179" fontId="4" fillId="7" borderId="5" xfId="0" applyNumberFormat="1" applyFont="1" applyFill="1" applyBorder="1" applyAlignment="1">
      <alignment horizontal="left" vertical="center"/>
    </xf>
    <xf numFmtId="0" fontId="2" fillId="9" borderId="4" xfId="0" applyFont="1" applyFill="1" applyBorder="1" applyAlignment="1"/>
    <xf numFmtId="0" fontId="2" fillId="9" borderId="0" xfId="0" applyFont="1" applyFill="1" applyAlignment="1"/>
    <xf numFmtId="0" fontId="1" fillId="0" borderId="4" xfId="0" applyFont="1" applyBorder="1" applyAlignment="1"/>
    <xf numFmtId="3" fontId="2" fillId="10" borderId="0" xfId="0" applyNumberFormat="1" applyFont="1" applyFill="1" applyAlignment="1">
      <alignment horizontal="center"/>
    </xf>
    <xf numFmtId="0" fontId="1" fillId="0" borderId="6" xfId="0" applyFont="1" applyBorder="1" applyAlignment="1"/>
    <xf numFmtId="3" fontId="2" fillId="10" borderId="7" xfId="0" applyNumberFormat="1" applyFont="1" applyFill="1" applyBorder="1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5" fillId="8" borderId="3" xfId="0" applyFont="1" applyFill="1" applyBorder="1"/>
    <xf numFmtId="0" fontId="2" fillId="9" borderId="5" xfId="0" applyFont="1" applyFill="1" applyBorder="1" applyAlignment="1"/>
    <xf numFmtId="3" fontId="1" fillId="11" borderId="0" xfId="0" applyNumberFormat="1" applyFont="1" applyFill="1" applyAlignment="1">
      <alignment horizontal="center"/>
    </xf>
    <xf numFmtId="3" fontId="2" fillId="12" borderId="5" xfId="0" applyNumberFormat="1" applyFont="1" applyFill="1" applyBorder="1" applyAlignment="1">
      <alignment horizontal="center"/>
    </xf>
    <xf numFmtId="3" fontId="2" fillId="13" borderId="5" xfId="0" applyNumberFormat="1" applyFont="1" applyFill="1" applyBorder="1" applyAlignment="1">
      <alignment horizontal="center"/>
    </xf>
    <xf numFmtId="3" fontId="1" fillId="11" borderId="7" xfId="0" applyNumberFormat="1" applyFont="1" applyFill="1" applyBorder="1" applyAlignment="1">
      <alignment horizontal="center"/>
    </xf>
    <xf numFmtId="3" fontId="2" fillId="12" borderId="8" xfId="0" applyNumberFormat="1" applyFont="1" applyFill="1" applyBorder="1" applyAlignment="1">
      <alignment horizontal="center"/>
    </xf>
    <xf numFmtId="178" fontId="1" fillId="0" borderId="6" xfId="0" applyNumberFormat="1" applyFont="1" applyBorder="1" applyAlignment="1"/>
    <xf numFmtId="0" fontId="4" fillId="6" borderId="7" xfId="0" applyFont="1" applyFill="1" applyBorder="1" applyAlignment="1">
      <alignment horizontal="left" vertical="center"/>
    </xf>
    <xf numFmtId="178" fontId="1" fillId="0" borderId="0" xfId="0" applyNumberFormat="1" applyFont="1"/>
    <xf numFmtId="58" fontId="4" fillId="6" borderId="7" xfId="0" applyNumberFormat="1" applyFont="1" applyFill="1" applyBorder="1" applyAlignment="1">
      <alignment horizontal="left" vertical="center"/>
    </xf>
    <xf numFmtId="58" fontId="1" fillId="0" borderId="0" xfId="0" applyNumberFormat="1" applyFont="1"/>
    <xf numFmtId="179" fontId="4" fillId="6" borderId="8" xfId="0" applyNumberFormat="1" applyFont="1" applyFill="1" applyBorder="1" applyAlignment="1">
      <alignment horizontal="left" vertical="center"/>
    </xf>
    <xf numFmtId="179" fontId="1" fillId="0" borderId="0" xfId="0" applyNumberFormat="1" applyFont="1"/>
    <xf numFmtId="0" fontId="1" fillId="14" borderId="0" xfId="0" applyFont="1" applyFill="1" applyAlignment="1"/>
    <xf numFmtId="0" fontId="1" fillId="0" borderId="0" xfId="0" applyFont="1" applyAlignment="1"/>
    <xf numFmtId="0" fontId="1" fillId="6" borderId="0" xfId="0" applyFont="1" applyFill="1"/>
    <xf numFmtId="0" fontId="6" fillId="6" borderId="0" xfId="0" applyFont="1" applyFill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Numeri cellulari tutti-style" pivot="0" count="2" xr9:uid="{23C4DF50-B36E-4091-B27A-19AF131AEE31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90"/>
  <sheetViews>
    <sheetView workbookViewId="0">
      <selection activeCell="A1" sqref="A1"/>
    </sheetView>
  </sheetViews>
  <sheetFormatPr defaultColWidth="12.6296296296296" defaultRowHeight="15.75" customHeight="1" outlineLevelCol="2"/>
  <cols>
    <col min="1" max="1" width="39.8796296296296" customWidth="1"/>
    <col min="2" max="2" width="15.25" customWidth="1"/>
  </cols>
  <sheetData>
    <row r="1" ht="13.2" spans="1:2">
      <c r="A1" s="46" t="s">
        <v>0</v>
      </c>
      <c r="B1" s="47" t="s">
        <v>1</v>
      </c>
    </row>
    <row r="2" ht="13.2" spans="1:2">
      <c r="A2" s="46" t="s">
        <v>2</v>
      </c>
      <c r="B2" s="47"/>
    </row>
    <row r="3" ht="13.2" spans="1:1">
      <c r="A3" s="46" t="s">
        <v>3</v>
      </c>
    </row>
    <row r="4" ht="13.2" spans="1:1">
      <c r="A4" s="46" t="s">
        <v>4</v>
      </c>
    </row>
    <row r="5" ht="13.2" spans="1:1">
      <c r="A5" s="46" t="s">
        <v>5</v>
      </c>
    </row>
    <row r="6" ht="13.2" spans="1:1">
      <c r="A6" s="46" t="s">
        <v>6</v>
      </c>
    </row>
    <row r="7" ht="13.2" spans="1:1">
      <c r="A7" s="46" t="s">
        <v>7</v>
      </c>
    </row>
    <row r="8" ht="13.2" spans="1:1">
      <c r="A8" s="46" t="s">
        <v>8</v>
      </c>
    </row>
    <row r="9" ht="13.2" spans="1:1">
      <c r="A9" s="48"/>
    </row>
    <row r="10" ht="13.2" spans="1:1">
      <c r="A10" s="48"/>
    </row>
    <row r="11" ht="20.25" customHeight="1" spans="1:1">
      <c r="A11" s="48"/>
    </row>
    <row r="12" ht="13.2" spans="1:1">
      <c r="A12" s="48"/>
    </row>
    <row r="13" ht="13.2" spans="1:1">
      <c r="A13" s="48"/>
    </row>
    <row r="14" ht="13.2" spans="1:1">
      <c r="A14" s="48"/>
    </row>
    <row r="15" ht="13.2" spans="1:1">
      <c r="A15" s="48"/>
    </row>
    <row r="16" ht="13.2" spans="1:1">
      <c r="A16" s="48"/>
    </row>
    <row r="17" ht="13.2" spans="1:3">
      <c r="A17" s="49"/>
      <c r="B17" s="50"/>
      <c r="C17" s="50"/>
    </row>
    <row r="18" ht="13.2" spans="1:1">
      <c r="A18" s="48"/>
    </row>
    <row r="19" ht="13.2" spans="1:1">
      <c r="A19" s="48"/>
    </row>
    <row r="20" ht="13.2" spans="1:1">
      <c r="A20" s="48"/>
    </row>
    <row r="21" ht="13.2" spans="1:1">
      <c r="A21" s="48"/>
    </row>
    <row r="22" ht="13.2" spans="1:1">
      <c r="A22" s="48"/>
    </row>
    <row r="23" ht="13.2" spans="1:1">
      <c r="A23" s="48"/>
    </row>
    <row r="24" ht="13.2" spans="1:1">
      <c r="A24" s="48"/>
    </row>
    <row r="25" ht="13.2" spans="1:1">
      <c r="A25" s="48"/>
    </row>
    <row r="26" ht="13.2" spans="1:1">
      <c r="A26" s="48"/>
    </row>
    <row r="27" ht="13.2" spans="1:1">
      <c r="A27" s="48"/>
    </row>
    <row r="28" ht="13.2" spans="1:1">
      <c r="A28" s="48"/>
    </row>
    <row r="29" ht="13.2" spans="1:1">
      <c r="A29" s="48"/>
    </row>
    <row r="30" ht="13.2" spans="1:1">
      <c r="A30" s="48"/>
    </row>
    <row r="31" ht="13.2" spans="1:1">
      <c r="A31" s="48"/>
    </row>
    <row r="32" ht="13.2" spans="1:1">
      <c r="A32" s="48"/>
    </row>
    <row r="33" ht="13.2" spans="1:1">
      <c r="A33" s="48"/>
    </row>
    <row r="34" ht="13.2" spans="1:1">
      <c r="A34" s="48"/>
    </row>
    <row r="35" ht="13.2" spans="1:1">
      <c r="A35" s="48"/>
    </row>
    <row r="36" ht="13.2" spans="1:1">
      <c r="A36" s="48"/>
    </row>
    <row r="37" ht="13.2" spans="1:1">
      <c r="A37" s="48"/>
    </row>
    <row r="38" ht="13.2" spans="1:1">
      <c r="A38" s="48"/>
    </row>
    <row r="39" ht="13.2" spans="1:1">
      <c r="A39" s="48"/>
    </row>
    <row r="40" ht="13.2" spans="1:1">
      <c r="A40" s="48"/>
    </row>
    <row r="41" ht="13.2" spans="1:1">
      <c r="A41" s="48"/>
    </row>
    <row r="42" ht="13.2" spans="1:1">
      <c r="A42" s="48"/>
    </row>
    <row r="43" ht="13.2" spans="1:1">
      <c r="A43" s="48"/>
    </row>
    <row r="44" ht="13.2" spans="1:1">
      <c r="A44" s="48"/>
    </row>
    <row r="45" ht="13.2" spans="1:1">
      <c r="A45" s="48"/>
    </row>
    <row r="46" ht="13.2" spans="1:1">
      <c r="A46" s="48"/>
    </row>
    <row r="47" ht="13.2" spans="1:1">
      <c r="A47" s="48"/>
    </row>
    <row r="48" ht="13.2" spans="1:1">
      <c r="A48" s="48"/>
    </row>
    <row r="49" ht="13.2" spans="1:1">
      <c r="A49" s="48"/>
    </row>
    <row r="50" ht="13.2" spans="1:1">
      <c r="A50" s="48"/>
    </row>
    <row r="51" ht="13.2" spans="1:1">
      <c r="A51" s="48"/>
    </row>
    <row r="52" ht="13.2" spans="1:1">
      <c r="A52" s="48"/>
    </row>
    <row r="53" ht="13.2" spans="1:1">
      <c r="A53" s="48"/>
    </row>
    <row r="54" ht="13.2" spans="1:1">
      <c r="A54" s="48"/>
    </row>
    <row r="55" ht="13.2" spans="1:1">
      <c r="A55" s="48"/>
    </row>
    <row r="56" ht="13.2" spans="1:1">
      <c r="A56" s="48"/>
    </row>
    <row r="57" ht="13.2" spans="1:1">
      <c r="A57" s="48"/>
    </row>
    <row r="58" ht="13.2" spans="1:1">
      <c r="A58" s="48"/>
    </row>
    <row r="59" ht="13.2" spans="1:1">
      <c r="A59" s="48"/>
    </row>
    <row r="60" ht="13.2" spans="1:1">
      <c r="A60" s="48"/>
    </row>
    <row r="61" ht="13.2" spans="1:1">
      <c r="A61" s="48"/>
    </row>
    <row r="62" ht="13.2" spans="1:1">
      <c r="A62" s="48"/>
    </row>
    <row r="63" ht="13.2" spans="1:1">
      <c r="A63" s="48"/>
    </row>
    <row r="64" ht="13.2" spans="1:1">
      <c r="A64" s="48"/>
    </row>
    <row r="65" ht="13.2" spans="1:1">
      <c r="A65" s="48"/>
    </row>
    <row r="66" ht="13.2" spans="1:1">
      <c r="A66" s="48"/>
    </row>
    <row r="67" ht="13.2" spans="1:1">
      <c r="A67" s="48"/>
    </row>
    <row r="68" ht="13.2" spans="1:1">
      <c r="A68" s="48"/>
    </row>
    <row r="69" ht="13.2" spans="1:1">
      <c r="A69" s="48"/>
    </row>
    <row r="70" ht="13.2" spans="1:1">
      <c r="A70" s="48"/>
    </row>
    <row r="71" ht="13.2" spans="1:1">
      <c r="A71" s="48"/>
    </row>
    <row r="72" ht="13.2" spans="1:1">
      <c r="A72" s="48"/>
    </row>
    <row r="73" ht="13.2" spans="1:1">
      <c r="A73" s="48"/>
    </row>
    <row r="74" ht="13.2" spans="1:1">
      <c r="A74" s="48"/>
    </row>
    <row r="75" ht="13.2" spans="1:1">
      <c r="A75" s="48"/>
    </row>
    <row r="76" ht="13.2" spans="1:1">
      <c r="A76" s="48"/>
    </row>
    <row r="77" ht="13.2" spans="1:1">
      <c r="A77" s="48"/>
    </row>
    <row r="78" ht="13.2" spans="1:1">
      <c r="A78" s="48"/>
    </row>
    <row r="79" ht="13.2" spans="1:1">
      <c r="A79" s="48"/>
    </row>
    <row r="80" ht="13.2" spans="1:1">
      <c r="A80" s="48"/>
    </row>
    <row r="81" ht="13.2" spans="1:1">
      <c r="A81" s="48"/>
    </row>
    <row r="82" ht="13.2" spans="1:1">
      <c r="A82" s="48"/>
    </row>
    <row r="83" ht="13.2" spans="1:1">
      <c r="A83" s="48"/>
    </row>
    <row r="84" ht="13.2" spans="1:1">
      <c r="A84" s="48"/>
    </row>
    <row r="85" ht="13.2" spans="1:1">
      <c r="A85" s="48"/>
    </row>
    <row r="86" ht="13.2" spans="1:1">
      <c r="A86" s="48"/>
    </row>
    <row r="87" ht="13.2" spans="1:1">
      <c r="A87" s="48"/>
    </row>
    <row r="88" ht="13.2" spans="1:1">
      <c r="A88" s="48"/>
    </row>
    <row r="89" ht="13.2" spans="1:1">
      <c r="A89" s="48"/>
    </row>
    <row r="90" ht="13.2" spans="1:1">
      <c r="A90" s="48"/>
    </row>
    <row r="91" ht="13.2" spans="1:1">
      <c r="A91" s="48"/>
    </row>
    <row r="92" ht="13.2" spans="1:1">
      <c r="A92" s="48"/>
    </row>
    <row r="93" ht="13.2" spans="1:1">
      <c r="A93" s="48"/>
    </row>
    <row r="94" ht="13.2" spans="1:1">
      <c r="A94" s="48"/>
    </row>
    <row r="95" ht="13.2" spans="1:1">
      <c r="A95" s="48"/>
    </row>
    <row r="96" ht="13.2" spans="1:1">
      <c r="A96" s="48"/>
    </row>
    <row r="97" ht="13.2" spans="1:1">
      <c r="A97" s="48"/>
    </row>
    <row r="98" ht="13.2" spans="1:1">
      <c r="A98" s="48"/>
    </row>
    <row r="99" ht="13.2" spans="1:1">
      <c r="A99" s="48"/>
    </row>
    <row r="100" ht="13.2" spans="1:1">
      <c r="A100" s="48"/>
    </row>
    <row r="101" ht="13.2" spans="1:1">
      <c r="A101" s="48"/>
    </row>
    <row r="102" ht="13.2" spans="1:1">
      <c r="A102" s="48"/>
    </row>
    <row r="103" ht="13.2" spans="1:1">
      <c r="A103" s="48"/>
    </row>
    <row r="104" ht="13.2" spans="1:1">
      <c r="A104" s="48"/>
    </row>
    <row r="105" ht="13.2" spans="1:1">
      <c r="A105" s="48"/>
    </row>
    <row r="106" ht="13.2" spans="1:1">
      <c r="A106" s="48"/>
    </row>
    <row r="107" ht="13.2" spans="1:1">
      <c r="A107" s="48"/>
    </row>
    <row r="108" ht="13.2" spans="1:1">
      <c r="A108" s="48"/>
    </row>
    <row r="109" ht="13.2" spans="1:1">
      <c r="A109" s="48"/>
    </row>
    <row r="110" ht="13.2" spans="1:1">
      <c r="A110" s="48"/>
    </row>
    <row r="111" ht="13.2" spans="1:1">
      <c r="A111" s="48"/>
    </row>
    <row r="112" ht="13.2" spans="1:1">
      <c r="A112" s="48"/>
    </row>
    <row r="113" ht="13.2" spans="1:1">
      <c r="A113" s="48"/>
    </row>
    <row r="114" ht="13.2" spans="1:1">
      <c r="A114" s="48"/>
    </row>
    <row r="115" ht="13.2" spans="1:1">
      <c r="A115" s="48"/>
    </row>
    <row r="116" ht="13.2" spans="1:1">
      <c r="A116" s="48"/>
    </row>
    <row r="117" ht="13.2" spans="1:1">
      <c r="A117" s="48"/>
    </row>
    <row r="118" ht="13.2" spans="1:1">
      <c r="A118" s="48"/>
    </row>
    <row r="119" ht="13.2" spans="1:1">
      <c r="A119" s="48"/>
    </row>
    <row r="120" ht="13.2" spans="1:1">
      <c r="A120" s="48"/>
    </row>
    <row r="121" ht="13.2" spans="1:1">
      <c r="A121" s="48"/>
    </row>
    <row r="122" ht="13.2" spans="1:1">
      <c r="A122" s="48"/>
    </row>
    <row r="123" ht="13.2" spans="1:1">
      <c r="A123" s="48"/>
    </row>
    <row r="124" ht="13.2" spans="1:1">
      <c r="A124" s="48"/>
    </row>
    <row r="125" ht="13.2" spans="1:1">
      <c r="A125" s="48"/>
    </row>
    <row r="126" ht="13.2" spans="1:1">
      <c r="A126" s="48"/>
    </row>
    <row r="127" ht="13.2" spans="1:1">
      <c r="A127" s="48"/>
    </row>
    <row r="128" ht="13.2" spans="1:1">
      <c r="A128" s="48"/>
    </row>
    <row r="129" ht="13.2" spans="1:1">
      <c r="A129" s="48"/>
    </row>
    <row r="130" ht="13.2" spans="1:1">
      <c r="A130" s="48"/>
    </row>
    <row r="131" ht="13.2" spans="1:1">
      <c r="A131" s="48"/>
    </row>
    <row r="132" ht="13.2" spans="1:1">
      <c r="A132" s="48"/>
    </row>
    <row r="133" ht="13.2" spans="1:1">
      <c r="A133" s="48"/>
    </row>
    <row r="134" ht="13.2" spans="1:1">
      <c r="A134" s="48"/>
    </row>
    <row r="135" ht="13.2" spans="1:1">
      <c r="A135" s="48"/>
    </row>
    <row r="136" ht="13.2" spans="1:1">
      <c r="A136" s="48"/>
    </row>
    <row r="137" ht="13.2" spans="1:1">
      <c r="A137" s="48"/>
    </row>
    <row r="138" ht="13.2" spans="1:1">
      <c r="A138" s="48"/>
    </row>
    <row r="139" ht="13.2" spans="1:1">
      <c r="A139" s="48"/>
    </row>
    <row r="140" ht="13.2" spans="1:1">
      <c r="A140" s="48"/>
    </row>
    <row r="141" ht="13.2" spans="1:1">
      <c r="A141" s="48"/>
    </row>
    <row r="142" ht="13.2" spans="1:1">
      <c r="A142" s="48"/>
    </row>
    <row r="143" ht="13.2" spans="1:1">
      <c r="A143" s="48"/>
    </row>
    <row r="144" ht="13.2" spans="1:1">
      <c r="A144" s="48"/>
    </row>
    <row r="145" ht="13.2" spans="1:1">
      <c r="A145" s="48"/>
    </row>
    <row r="146" ht="13.2" spans="1:1">
      <c r="A146" s="48"/>
    </row>
    <row r="147" ht="13.2" spans="1:1">
      <c r="A147" s="48"/>
    </row>
    <row r="148" ht="13.2" spans="1:1">
      <c r="A148" s="48"/>
    </row>
    <row r="149" ht="13.2" spans="1:1">
      <c r="A149" s="48"/>
    </row>
    <row r="150" ht="13.2" spans="1:1">
      <c r="A150" s="48"/>
    </row>
    <row r="151" ht="13.2" spans="1:1">
      <c r="A151" s="48"/>
    </row>
    <row r="152" ht="13.2" spans="1:1">
      <c r="A152" s="48"/>
    </row>
    <row r="153" ht="13.2" spans="1:1">
      <c r="A153" s="48"/>
    </row>
    <row r="154" ht="13.2" spans="1:1">
      <c r="A154" s="48"/>
    </row>
    <row r="155" ht="13.2" spans="1:1">
      <c r="A155" s="48"/>
    </row>
    <row r="156" ht="13.2" spans="1:1">
      <c r="A156" s="48"/>
    </row>
    <row r="157" ht="13.2" spans="1:1">
      <c r="A157" s="48"/>
    </row>
    <row r="158" ht="13.2" spans="1:1">
      <c r="A158" s="48"/>
    </row>
    <row r="159" ht="13.2" spans="1:1">
      <c r="A159" s="48"/>
    </row>
    <row r="160" ht="13.2" spans="1:1">
      <c r="A160" s="48"/>
    </row>
    <row r="161" ht="13.2" spans="1:1">
      <c r="A161" s="48"/>
    </row>
    <row r="162" ht="13.2" spans="1:1">
      <c r="A162" s="48"/>
    </row>
    <row r="163" ht="13.2" spans="1:1">
      <c r="A163" s="48"/>
    </row>
    <row r="164" ht="13.2" spans="1:1">
      <c r="A164" s="48"/>
    </row>
    <row r="165" ht="13.2" spans="1:1">
      <c r="A165" s="48"/>
    </row>
    <row r="166" ht="13.2" spans="1:1">
      <c r="A166" s="48"/>
    </row>
    <row r="167" ht="13.2" spans="1:1">
      <c r="A167" s="48"/>
    </row>
    <row r="168" ht="13.2" spans="1:1">
      <c r="A168" s="48"/>
    </row>
    <row r="169" ht="13.2" spans="1:1">
      <c r="A169" s="48"/>
    </row>
    <row r="170" ht="13.2" spans="1:1">
      <c r="A170" s="48"/>
    </row>
    <row r="171" ht="13.2" spans="1:1">
      <c r="A171" s="48"/>
    </row>
    <row r="172" ht="13.2" spans="1:1">
      <c r="A172" s="48"/>
    </row>
    <row r="173" ht="13.2" spans="1:1">
      <c r="A173" s="48"/>
    </row>
    <row r="174" ht="13.2" spans="1:1">
      <c r="A174" s="48"/>
    </row>
    <row r="175" ht="13.2" spans="1:1">
      <c r="A175" s="48"/>
    </row>
    <row r="176" ht="13.2" spans="1:1">
      <c r="A176" s="48"/>
    </row>
    <row r="177" ht="13.2" spans="1:1">
      <c r="A177" s="48"/>
    </row>
    <row r="178" ht="13.2" spans="1:1">
      <c r="A178" s="48"/>
    </row>
    <row r="179" ht="13.2" spans="1:1">
      <c r="A179" s="48"/>
    </row>
    <row r="180" ht="13.2" spans="1:1">
      <c r="A180" s="48"/>
    </row>
    <row r="181" ht="13.2" spans="1:1">
      <c r="A181" s="48"/>
    </row>
    <row r="182" ht="13.2" spans="1:1">
      <c r="A182" s="48"/>
    </row>
    <row r="183" ht="13.2" spans="1:1">
      <c r="A183" s="48"/>
    </row>
    <row r="184" ht="13.2" spans="1:1">
      <c r="A184" s="48"/>
    </row>
    <row r="185" ht="13.2" spans="1:1">
      <c r="A185" s="48"/>
    </row>
    <row r="186" ht="13.2" spans="1:1">
      <c r="A186" s="48"/>
    </row>
    <row r="187" ht="13.2" spans="1:1">
      <c r="A187" s="48"/>
    </row>
    <row r="188" ht="13.2" spans="1:1">
      <c r="A188" s="48"/>
    </row>
    <row r="189" ht="13.2" spans="1:1">
      <c r="A189" s="48"/>
    </row>
    <row r="190" ht="13.2" spans="1:1">
      <c r="A190" s="48"/>
    </row>
    <row r="191" ht="13.2" spans="1:1">
      <c r="A191" s="48"/>
    </row>
    <row r="192" ht="13.2" spans="1:1">
      <c r="A192" s="48"/>
    </row>
    <row r="193" ht="13.2" spans="1:1">
      <c r="A193" s="48"/>
    </row>
    <row r="194" ht="13.2" spans="1:1">
      <c r="A194" s="48"/>
    </row>
    <row r="195" ht="13.2" spans="1:1">
      <c r="A195" s="48"/>
    </row>
    <row r="196" ht="13.2" spans="1:1">
      <c r="A196" s="48"/>
    </row>
    <row r="197" ht="13.2" spans="1:1">
      <c r="A197" s="48"/>
    </row>
    <row r="198" ht="13.2" spans="1:1">
      <c r="A198" s="48"/>
    </row>
    <row r="199" ht="13.2" spans="1:1">
      <c r="A199" s="48"/>
    </row>
    <row r="200" ht="13.2" spans="1:1">
      <c r="A200" s="48"/>
    </row>
    <row r="201" ht="13.2" spans="1:1">
      <c r="A201" s="48"/>
    </row>
    <row r="202" ht="13.2" spans="1:1">
      <c r="A202" s="48"/>
    </row>
    <row r="203" ht="13.2" spans="1:1">
      <c r="A203" s="48"/>
    </row>
    <row r="204" ht="13.2" spans="1:1">
      <c r="A204" s="48"/>
    </row>
    <row r="205" ht="13.2" spans="1:1">
      <c r="A205" s="48"/>
    </row>
    <row r="206" ht="13.2" spans="1:1">
      <c r="A206" s="48"/>
    </row>
    <row r="207" ht="13.2" spans="1:1">
      <c r="A207" s="48"/>
    </row>
    <row r="208" ht="13.2" spans="1:1">
      <c r="A208" s="48"/>
    </row>
    <row r="209" ht="13.2" spans="1:1">
      <c r="A209" s="48"/>
    </row>
    <row r="210" ht="13.2" spans="1:1">
      <c r="A210" s="48"/>
    </row>
    <row r="211" ht="13.2" spans="1:1">
      <c r="A211" s="48"/>
    </row>
    <row r="212" ht="13.2" spans="1:1">
      <c r="A212" s="48"/>
    </row>
    <row r="213" ht="13.2" spans="1:1">
      <c r="A213" s="48"/>
    </row>
    <row r="214" ht="13.2" spans="1:1">
      <c r="A214" s="48"/>
    </row>
    <row r="215" ht="13.2" spans="1:1">
      <c r="A215" s="48"/>
    </row>
    <row r="216" ht="13.2" spans="1:1">
      <c r="A216" s="48"/>
    </row>
    <row r="217" ht="13.2" spans="1:1">
      <c r="A217" s="48"/>
    </row>
    <row r="218" ht="13.2" spans="1:1">
      <c r="A218" s="48"/>
    </row>
    <row r="219" ht="13.2" spans="1:1">
      <c r="A219" s="48"/>
    </row>
    <row r="220" ht="13.2" spans="1:1">
      <c r="A220" s="48"/>
    </row>
    <row r="221" ht="13.2" spans="1:1">
      <c r="A221" s="48"/>
    </row>
    <row r="222" ht="13.2" spans="1:1">
      <c r="A222" s="48"/>
    </row>
    <row r="223" ht="13.2" spans="1:1">
      <c r="A223" s="48"/>
    </row>
    <row r="224" ht="13.2" spans="1:1">
      <c r="A224" s="48"/>
    </row>
    <row r="225" ht="13.2" spans="1:1">
      <c r="A225" s="48"/>
    </row>
    <row r="226" ht="13.2" spans="1:1">
      <c r="A226" s="48"/>
    </row>
    <row r="227" ht="13.2" spans="1:1">
      <c r="A227" s="48"/>
    </row>
    <row r="228" ht="13.2" spans="1:1">
      <c r="A228" s="48"/>
    </row>
    <row r="229" ht="13.2" spans="1:1">
      <c r="A229" s="48"/>
    </row>
    <row r="230" ht="13.2" spans="1:1">
      <c r="A230" s="48"/>
    </row>
    <row r="231" ht="13.2" spans="1:1">
      <c r="A231" s="48"/>
    </row>
    <row r="232" ht="13.2" spans="1:1">
      <c r="A232" s="48"/>
    </row>
    <row r="233" ht="13.2" spans="1:1">
      <c r="A233" s="48"/>
    </row>
    <row r="234" ht="13.2" spans="1:1">
      <c r="A234" s="48"/>
    </row>
    <row r="235" ht="13.2" spans="1:1">
      <c r="A235" s="48"/>
    </row>
    <row r="236" ht="13.2" spans="1:1">
      <c r="A236" s="48"/>
    </row>
    <row r="237" ht="13.2" spans="1:1">
      <c r="A237" s="48"/>
    </row>
    <row r="238" ht="13.2" spans="1:1">
      <c r="A238" s="48"/>
    </row>
    <row r="239" ht="13.2" spans="1:1">
      <c r="A239" s="48"/>
    </row>
    <row r="240" ht="13.2" spans="1:1">
      <c r="A240" s="48"/>
    </row>
    <row r="241" ht="13.2" spans="1:1">
      <c r="A241" s="48"/>
    </row>
    <row r="242" ht="13.2" spans="1:1">
      <c r="A242" s="48"/>
    </row>
    <row r="243" ht="13.2" spans="1:1">
      <c r="A243" s="48"/>
    </row>
    <row r="244" ht="13.2" spans="1:1">
      <c r="A244" s="48"/>
    </row>
    <row r="245" ht="13.2" spans="1:1">
      <c r="A245" s="48"/>
    </row>
    <row r="246" ht="13.2" spans="1:1">
      <c r="A246" s="48"/>
    </row>
    <row r="247" ht="13.2" spans="1:1">
      <c r="A247" s="48"/>
    </row>
    <row r="248" ht="13.2" spans="1:1">
      <c r="A248" s="48"/>
    </row>
    <row r="249" ht="13.2" spans="1:1">
      <c r="A249" s="48"/>
    </row>
    <row r="250" ht="13.2" spans="1:1">
      <c r="A250" s="48"/>
    </row>
    <row r="251" ht="13.2" spans="1:1">
      <c r="A251" s="48"/>
    </row>
    <row r="252" ht="13.2" spans="1:1">
      <c r="A252" s="48"/>
    </row>
    <row r="253" ht="13.2" spans="1:1">
      <c r="A253" s="48"/>
    </row>
    <row r="254" ht="13.2" spans="1:1">
      <c r="A254" s="48"/>
    </row>
    <row r="255" ht="13.2" spans="1:1">
      <c r="A255" s="48"/>
    </row>
    <row r="256" ht="13.2" spans="1:1">
      <c r="A256" s="48"/>
    </row>
    <row r="257" ht="13.2" spans="1:1">
      <c r="A257" s="48"/>
    </row>
    <row r="258" ht="13.2" spans="1:1">
      <c r="A258" s="48"/>
    </row>
    <row r="259" ht="13.2" spans="1:1">
      <c r="A259" s="48"/>
    </row>
    <row r="260" ht="13.2" spans="1:1">
      <c r="A260" s="48"/>
    </row>
    <row r="261" ht="13.2" spans="1:1">
      <c r="A261" s="48"/>
    </row>
    <row r="262" ht="13.2" spans="1:1">
      <c r="A262" s="48"/>
    </row>
    <row r="263" ht="13.2" spans="1:1">
      <c r="A263" s="48"/>
    </row>
    <row r="264" ht="13.2" spans="1:1">
      <c r="A264" s="48"/>
    </row>
    <row r="265" ht="13.2" spans="1:1">
      <c r="A265" s="48"/>
    </row>
    <row r="266" ht="13.2" spans="1:1">
      <c r="A266" s="48"/>
    </row>
    <row r="267" ht="13.2" spans="1:1">
      <c r="A267" s="48"/>
    </row>
    <row r="268" ht="13.2" spans="1:1">
      <c r="A268" s="48"/>
    </row>
    <row r="269" ht="13.2" spans="1:1">
      <c r="A269" s="48"/>
    </row>
    <row r="270" ht="13.2" spans="1:1">
      <c r="A270" s="48"/>
    </row>
    <row r="271" ht="13.2" spans="1:1">
      <c r="A271" s="48"/>
    </row>
    <row r="272" ht="13.2" spans="1:1">
      <c r="A272" s="48"/>
    </row>
    <row r="273" ht="13.2" spans="1:1">
      <c r="A273" s="48"/>
    </row>
    <row r="274" ht="13.2" spans="1:1">
      <c r="A274" s="48"/>
    </row>
    <row r="275" ht="13.2" spans="1:1">
      <c r="A275" s="48"/>
    </row>
    <row r="276" ht="13.2" spans="1:1">
      <c r="A276" s="48"/>
    </row>
    <row r="277" ht="13.2" spans="1:1">
      <c r="A277" s="48"/>
    </row>
    <row r="278" ht="13.2" spans="1:1">
      <c r="A278" s="48"/>
    </row>
    <row r="279" ht="13.2" spans="1:1">
      <c r="A279" s="48"/>
    </row>
    <row r="280" ht="13.2" spans="1:1">
      <c r="A280" s="48"/>
    </row>
    <row r="281" ht="13.2" spans="1:1">
      <c r="A281" s="48"/>
    </row>
    <row r="282" ht="13.2" spans="1:1">
      <c r="A282" s="48"/>
    </row>
    <row r="283" ht="13.2" spans="1:1">
      <c r="A283" s="48"/>
    </row>
    <row r="284" ht="13.2" spans="1:1">
      <c r="A284" s="48"/>
    </row>
    <row r="285" ht="13.2" spans="1:1">
      <c r="A285" s="48"/>
    </row>
    <row r="286" ht="13.2" spans="1:1">
      <c r="A286" s="48"/>
    </row>
    <row r="287" ht="13.2" spans="1:1">
      <c r="A287" s="48"/>
    </row>
    <row r="288" ht="13.2" spans="1:1">
      <c r="A288" s="48"/>
    </row>
    <row r="289" ht="13.2" spans="1:1">
      <c r="A289" s="48"/>
    </row>
    <row r="290" ht="13.2" spans="1:1">
      <c r="A290" s="48"/>
    </row>
    <row r="291" ht="13.2" spans="1:1">
      <c r="A291" s="48"/>
    </row>
    <row r="292" ht="13.2" spans="1:1">
      <c r="A292" s="48"/>
    </row>
    <row r="293" ht="13.2" spans="1:1">
      <c r="A293" s="48"/>
    </row>
    <row r="294" ht="13.2" spans="1:1">
      <c r="A294" s="48"/>
    </row>
    <row r="295" ht="13.2" spans="1:1">
      <c r="A295" s="48"/>
    </row>
    <row r="296" ht="13.2" spans="1:1">
      <c r="A296" s="48"/>
    </row>
    <row r="297" ht="13.2" spans="1:1">
      <c r="A297" s="48"/>
    </row>
    <row r="298" ht="13.2" spans="1:1">
      <c r="A298" s="48"/>
    </row>
    <row r="299" ht="13.2" spans="1:1">
      <c r="A299" s="48"/>
    </row>
    <row r="300" ht="13.2" spans="1:1">
      <c r="A300" s="48"/>
    </row>
    <row r="301" ht="13.2" spans="1:1">
      <c r="A301" s="48"/>
    </row>
    <row r="302" ht="13.2" spans="1:1">
      <c r="A302" s="48"/>
    </row>
    <row r="303" ht="13.2" spans="1:1">
      <c r="A303" s="48"/>
    </row>
    <row r="304" ht="13.2" spans="1:1">
      <c r="A304" s="48"/>
    </row>
    <row r="305" ht="13.2" spans="1:1">
      <c r="A305" s="48"/>
    </row>
    <row r="306" ht="13.2" spans="1:1">
      <c r="A306" s="48"/>
    </row>
    <row r="307" ht="13.2" spans="1:1">
      <c r="A307" s="48"/>
    </row>
    <row r="308" ht="13.2" spans="1:1">
      <c r="A308" s="48"/>
    </row>
    <row r="309" ht="13.2" spans="1:1">
      <c r="A309" s="48"/>
    </row>
    <row r="310" ht="13.2" spans="1:1">
      <c r="A310" s="48"/>
    </row>
    <row r="311" ht="13.2" spans="1:1">
      <c r="A311" s="48"/>
    </row>
    <row r="312" ht="13.2" spans="1:1">
      <c r="A312" s="48"/>
    </row>
    <row r="313" ht="13.2" spans="1:1">
      <c r="A313" s="48"/>
    </row>
    <row r="314" ht="13.2" spans="1:1">
      <c r="A314" s="48"/>
    </row>
    <row r="315" ht="13.2" spans="1:1">
      <c r="A315" s="48"/>
    </row>
    <row r="316" ht="13.2" spans="1:1">
      <c r="A316" s="48"/>
    </row>
    <row r="317" ht="13.2" spans="1:1">
      <c r="A317" s="48"/>
    </row>
    <row r="318" ht="13.2" spans="1:1">
      <c r="A318" s="48"/>
    </row>
    <row r="319" ht="13.2" spans="1:1">
      <c r="A319" s="48"/>
    </row>
    <row r="320" ht="13.2" spans="1:1">
      <c r="A320" s="48"/>
    </row>
    <row r="321" ht="13.2" spans="1:1">
      <c r="A321" s="48"/>
    </row>
    <row r="322" ht="13.2" spans="1:1">
      <c r="A322" s="48"/>
    </row>
    <row r="323" ht="13.2" spans="1:1">
      <c r="A323" s="48"/>
    </row>
    <row r="324" ht="13.2" spans="1:1">
      <c r="A324" s="48"/>
    </row>
    <row r="325" ht="13.2" spans="1:1">
      <c r="A325" s="48"/>
    </row>
    <row r="326" ht="13.2" spans="1:1">
      <c r="A326" s="48"/>
    </row>
    <row r="327" ht="13.2" spans="1:1">
      <c r="A327" s="48"/>
    </row>
    <row r="328" ht="13.2" spans="1:1">
      <c r="A328" s="48"/>
    </row>
    <row r="329" ht="13.2" spans="1:1">
      <c r="A329" s="48"/>
    </row>
    <row r="330" ht="13.2" spans="1:1">
      <c r="A330" s="48"/>
    </row>
    <row r="331" ht="13.2" spans="1:1">
      <c r="A331" s="48"/>
    </row>
    <row r="332" ht="13.2" spans="1:1">
      <c r="A332" s="48"/>
    </row>
    <row r="333" ht="13.2" spans="1:1">
      <c r="A333" s="48"/>
    </row>
    <row r="334" ht="13.2" spans="1:1">
      <c r="A334" s="48"/>
    </row>
    <row r="335" ht="13.2" spans="1:1">
      <c r="A335" s="48"/>
    </row>
    <row r="336" ht="13.2" spans="1:1">
      <c r="A336" s="48"/>
    </row>
    <row r="337" ht="13.2" spans="1:1">
      <c r="A337" s="48"/>
    </row>
    <row r="338" ht="13.2" spans="1:1">
      <c r="A338" s="48"/>
    </row>
    <row r="339" ht="13.2" spans="1:1">
      <c r="A339" s="48"/>
    </row>
    <row r="340" ht="13.2" spans="1:1">
      <c r="A340" s="48"/>
    </row>
    <row r="341" ht="13.2" spans="1:1">
      <c r="A341" s="48"/>
    </row>
    <row r="342" ht="13.2" spans="1:1">
      <c r="A342" s="48"/>
    </row>
    <row r="343" ht="13.2" spans="1:1">
      <c r="A343" s="48"/>
    </row>
    <row r="344" ht="13.2" spans="1:1">
      <c r="A344" s="48"/>
    </row>
    <row r="345" ht="13.2" spans="1:1">
      <c r="A345" s="48"/>
    </row>
    <row r="346" ht="13.2" spans="1:1">
      <c r="A346" s="48"/>
    </row>
    <row r="347" ht="13.2" spans="1:1">
      <c r="A347" s="48"/>
    </row>
    <row r="348" ht="13.2" spans="1:1">
      <c r="A348" s="48"/>
    </row>
    <row r="349" ht="13.2" spans="1:1">
      <c r="A349" s="48"/>
    </row>
    <row r="350" ht="13.2" spans="1:1">
      <c r="A350" s="48"/>
    </row>
    <row r="351" ht="13.2" spans="1:1">
      <c r="A351" s="48"/>
    </row>
    <row r="352" ht="13.2" spans="1:1">
      <c r="A352" s="48"/>
    </row>
    <row r="353" ht="13.2" spans="1:1">
      <c r="A353" s="48"/>
    </row>
    <row r="354" ht="13.2" spans="1:1">
      <c r="A354" s="48"/>
    </row>
    <row r="355" ht="13.2" spans="1:1">
      <c r="A355" s="48"/>
    </row>
    <row r="356" ht="13.2" spans="1:1">
      <c r="A356" s="48"/>
    </row>
    <row r="357" ht="13.2" spans="1:1">
      <c r="A357" s="48"/>
    </row>
    <row r="358" ht="13.2" spans="1:1">
      <c r="A358" s="48"/>
    </row>
    <row r="359" ht="13.2" spans="1:1">
      <c r="A359" s="48"/>
    </row>
    <row r="360" ht="13.2" spans="1:1">
      <c r="A360" s="48"/>
    </row>
    <row r="361" ht="13.2" spans="1:1">
      <c r="A361" s="48"/>
    </row>
    <row r="362" ht="13.2" spans="1:1">
      <c r="A362" s="48"/>
    </row>
    <row r="363" ht="13.2" spans="1:1">
      <c r="A363" s="48"/>
    </row>
    <row r="364" ht="13.2" spans="1:1">
      <c r="A364" s="48"/>
    </row>
    <row r="365" ht="13.2" spans="1:1">
      <c r="A365" s="48"/>
    </row>
    <row r="366" ht="13.2" spans="1:1">
      <c r="A366" s="48"/>
    </row>
    <row r="367" ht="13.2" spans="1:1">
      <c r="A367" s="48"/>
    </row>
    <row r="368" ht="13.2" spans="1:1">
      <c r="A368" s="48"/>
    </row>
    <row r="369" ht="13.2" spans="1:1">
      <c r="A369" s="48"/>
    </row>
    <row r="370" ht="13.2" spans="1:1">
      <c r="A370" s="48"/>
    </row>
    <row r="371" ht="13.2" spans="1:1">
      <c r="A371" s="48"/>
    </row>
    <row r="372" ht="13.2" spans="1:1">
      <c r="A372" s="48"/>
    </row>
    <row r="373" ht="13.2" spans="1:1">
      <c r="A373" s="48"/>
    </row>
    <row r="374" ht="13.2" spans="1:1">
      <c r="A374" s="48"/>
    </row>
    <row r="375" ht="13.2" spans="1:1">
      <c r="A375" s="48"/>
    </row>
    <row r="376" ht="13.2" spans="1:1">
      <c r="A376" s="48"/>
    </row>
    <row r="377" ht="13.2" spans="1:1">
      <c r="A377" s="48"/>
    </row>
    <row r="378" ht="13.2" spans="1:1">
      <c r="A378" s="48"/>
    </row>
    <row r="379" ht="13.2" spans="1:1">
      <c r="A379" s="48"/>
    </row>
    <row r="380" ht="13.2" spans="1:1">
      <c r="A380" s="48"/>
    </row>
    <row r="381" ht="13.2" spans="1:1">
      <c r="A381" s="48"/>
    </row>
    <row r="382" ht="13.2" spans="1:1">
      <c r="A382" s="48"/>
    </row>
    <row r="383" ht="13.2" spans="1:1">
      <c r="A383" s="48"/>
    </row>
    <row r="384" ht="13.2" spans="1:1">
      <c r="A384" s="48"/>
    </row>
    <row r="385" ht="13.2" spans="1:1">
      <c r="A385" s="48"/>
    </row>
    <row r="386" ht="13.2" spans="1:1">
      <c r="A386" s="48"/>
    </row>
    <row r="387" ht="13.2" spans="1:1">
      <c r="A387" s="48"/>
    </row>
    <row r="388" ht="13.2" spans="1:1">
      <c r="A388" s="48"/>
    </row>
    <row r="389" ht="13.2" spans="1:1">
      <c r="A389" s="48"/>
    </row>
    <row r="390" ht="13.2" spans="1:1">
      <c r="A390" s="48"/>
    </row>
    <row r="391" ht="13.2" spans="1:1">
      <c r="A391" s="48"/>
    </row>
    <row r="392" ht="13.2" spans="1:1">
      <c r="A392" s="48"/>
    </row>
    <row r="393" ht="13.2" spans="1:1">
      <c r="A393" s="48"/>
    </row>
    <row r="394" ht="13.2" spans="1:1">
      <c r="A394" s="48"/>
    </row>
    <row r="395" ht="13.2" spans="1:1">
      <c r="A395" s="48"/>
    </row>
    <row r="396" ht="13.2" spans="1:1">
      <c r="A396" s="48"/>
    </row>
    <row r="397" ht="13.2" spans="1:1">
      <c r="A397" s="48"/>
    </row>
    <row r="398" ht="13.2" spans="1:1">
      <c r="A398" s="48"/>
    </row>
    <row r="399" ht="13.2" spans="1:1">
      <c r="A399" s="48"/>
    </row>
    <row r="400" ht="13.2" spans="1:1">
      <c r="A400" s="48"/>
    </row>
    <row r="401" ht="13.2" spans="1:1">
      <c r="A401" s="48"/>
    </row>
    <row r="402" ht="13.2" spans="1:1">
      <c r="A402" s="48"/>
    </row>
    <row r="403" ht="13.2" spans="1:1">
      <c r="A403" s="48"/>
    </row>
    <row r="404" ht="13.2" spans="1:1">
      <c r="A404" s="48"/>
    </row>
    <row r="405" ht="13.2" spans="1:1">
      <c r="A405" s="48"/>
    </row>
    <row r="406" ht="13.2" spans="1:1">
      <c r="A406" s="48"/>
    </row>
    <row r="407" ht="13.2" spans="1:1">
      <c r="A407" s="48"/>
    </row>
    <row r="408" ht="13.2" spans="1:1">
      <c r="A408" s="48"/>
    </row>
    <row r="409" ht="13.2" spans="1:1">
      <c r="A409" s="48"/>
    </row>
    <row r="410" ht="13.2" spans="1:1">
      <c r="A410" s="48"/>
    </row>
    <row r="411" ht="13.2" spans="1:1">
      <c r="A411" s="48"/>
    </row>
    <row r="412" ht="13.2" spans="1:1">
      <c r="A412" s="48"/>
    </row>
    <row r="413" ht="13.2" spans="1:1">
      <c r="A413" s="48"/>
    </row>
    <row r="414" ht="13.2" spans="1:1">
      <c r="A414" s="48"/>
    </row>
    <row r="415" ht="13.2" spans="1:1">
      <c r="A415" s="48"/>
    </row>
    <row r="416" ht="13.2" spans="1:1">
      <c r="A416" s="48"/>
    </row>
    <row r="417" ht="13.2" spans="1:1">
      <c r="A417" s="48"/>
    </row>
    <row r="418" ht="13.2" spans="1:1">
      <c r="A418" s="48"/>
    </row>
    <row r="419" ht="13.2" spans="1:1">
      <c r="A419" s="48"/>
    </row>
    <row r="420" ht="13.2" spans="1:1">
      <c r="A420" s="48"/>
    </row>
    <row r="421" ht="13.2" spans="1:1">
      <c r="A421" s="48"/>
    </row>
    <row r="422" ht="13.2" spans="1:1">
      <c r="A422" s="48"/>
    </row>
    <row r="423" ht="13.2" spans="1:1">
      <c r="A423" s="48"/>
    </row>
    <row r="424" ht="13.2" spans="1:1">
      <c r="A424" s="48"/>
    </row>
    <row r="425" ht="13.2" spans="1:1">
      <c r="A425" s="48"/>
    </row>
    <row r="426" ht="13.2" spans="1:1">
      <c r="A426" s="48"/>
    </row>
    <row r="427" ht="13.2" spans="1:1">
      <c r="A427" s="48"/>
    </row>
    <row r="428" ht="13.2" spans="1:1">
      <c r="A428" s="48"/>
    </row>
    <row r="429" ht="13.2" spans="1:1">
      <c r="A429" s="48"/>
    </row>
    <row r="430" ht="13.2" spans="1:1">
      <c r="A430" s="48"/>
    </row>
    <row r="431" ht="13.2" spans="1:1">
      <c r="A431" s="48"/>
    </row>
    <row r="432" ht="13.2" spans="1:1">
      <c r="A432" s="48"/>
    </row>
    <row r="433" ht="13.2" spans="1:1">
      <c r="A433" s="48"/>
    </row>
    <row r="434" ht="13.2" spans="1:1">
      <c r="A434" s="48"/>
    </row>
    <row r="435" ht="13.2" spans="1:1">
      <c r="A435" s="48"/>
    </row>
    <row r="436" ht="13.2" spans="1:1">
      <c r="A436" s="48"/>
    </row>
    <row r="437" ht="13.2" spans="1:1">
      <c r="A437" s="48"/>
    </row>
    <row r="438" ht="13.2" spans="1:1">
      <c r="A438" s="48"/>
    </row>
    <row r="439" ht="13.2" spans="1:1">
      <c r="A439" s="48"/>
    </row>
    <row r="440" ht="13.2" spans="1:1">
      <c r="A440" s="48"/>
    </row>
    <row r="441" ht="13.2" spans="1:1">
      <c r="A441" s="48"/>
    </row>
    <row r="442" ht="13.2" spans="1:1">
      <c r="A442" s="48"/>
    </row>
    <row r="443" ht="13.2" spans="1:1">
      <c r="A443" s="48"/>
    </row>
    <row r="444" ht="13.2" spans="1:1">
      <c r="A444" s="48"/>
    </row>
    <row r="445" ht="13.2" spans="1:1">
      <c r="A445" s="48"/>
    </row>
    <row r="446" ht="13.2" spans="1:1">
      <c r="A446" s="48"/>
    </row>
    <row r="447" ht="13.2" spans="1:1">
      <c r="A447" s="48"/>
    </row>
    <row r="448" ht="13.2" spans="1:1">
      <c r="A448" s="48"/>
    </row>
    <row r="449" ht="13.2" spans="1:1">
      <c r="A449" s="48"/>
    </row>
    <row r="450" ht="13.2" spans="1:1">
      <c r="A450" s="48"/>
    </row>
    <row r="451" ht="13.2" spans="1:1">
      <c r="A451" s="48"/>
    </row>
    <row r="452" ht="13.2" spans="1:1">
      <c r="A452" s="48"/>
    </row>
    <row r="453" ht="13.2" spans="1:1">
      <c r="A453" s="48"/>
    </row>
    <row r="454" ht="13.2" spans="1:1">
      <c r="A454" s="48"/>
    </row>
    <row r="455" ht="13.2" spans="1:1">
      <c r="A455" s="48"/>
    </row>
    <row r="456" ht="13.2" spans="1:1">
      <c r="A456" s="48"/>
    </row>
    <row r="457" ht="13.2" spans="1:1">
      <c r="A457" s="48"/>
    </row>
    <row r="458" ht="13.2" spans="1:1">
      <c r="A458" s="48"/>
    </row>
    <row r="459" ht="13.2" spans="1:1">
      <c r="A459" s="48"/>
    </row>
    <row r="460" ht="13.2" spans="1:1">
      <c r="A460" s="48"/>
    </row>
    <row r="461" ht="13.2" spans="1:1">
      <c r="A461" s="48"/>
    </row>
    <row r="462" ht="13.2" spans="1:1">
      <c r="A462" s="48"/>
    </row>
    <row r="463" ht="13.2" spans="1:1">
      <c r="A463" s="48"/>
    </row>
    <row r="464" ht="13.2" spans="1:1">
      <c r="A464" s="48"/>
    </row>
    <row r="465" ht="13.2" spans="1:1">
      <c r="A465" s="48"/>
    </row>
    <row r="466" ht="13.2" spans="1:1">
      <c r="A466" s="48"/>
    </row>
    <row r="467" ht="13.2" spans="1:1">
      <c r="A467" s="48"/>
    </row>
    <row r="468" ht="13.2" spans="1:1">
      <c r="A468" s="48"/>
    </row>
    <row r="469" ht="13.2" spans="1:1">
      <c r="A469" s="48"/>
    </row>
    <row r="470" ht="13.2" spans="1:1">
      <c r="A470" s="48"/>
    </row>
    <row r="471" ht="13.2" spans="1:1">
      <c r="A471" s="48"/>
    </row>
    <row r="472" ht="13.2" spans="1:1">
      <c r="A472" s="48"/>
    </row>
    <row r="473" ht="13.2" spans="1:1">
      <c r="A473" s="48"/>
    </row>
    <row r="474" ht="13.2" spans="1:1">
      <c r="A474" s="48"/>
    </row>
    <row r="475" ht="13.2" spans="1:1">
      <c r="A475" s="48"/>
    </row>
    <row r="476" ht="13.2" spans="1:1">
      <c r="A476" s="48"/>
    </row>
    <row r="477" ht="13.2" spans="1:1">
      <c r="A477" s="48"/>
    </row>
    <row r="478" ht="13.2" spans="1:1">
      <c r="A478" s="48"/>
    </row>
    <row r="479" ht="13.2" spans="1:1">
      <c r="A479" s="48"/>
    </row>
    <row r="480" ht="13.2" spans="1:1">
      <c r="A480" s="48"/>
    </row>
    <row r="481" ht="13.2" spans="1:1">
      <c r="A481" s="48"/>
    </row>
    <row r="482" ht="13.2" spans="1:1">
      <c r="A482" s="48"/>
    </row>
    <row r="483" ht="13.2" spans="1:1">
      <c r="A483" s="48"/>
    </row>
    <row r="484" ht="13.2" spans="1:1">
      <c r="A484" s="48"/>
    </row>
    <row r="485" ht="13.2" spans="1:1">
      <c r="A485" s="48"/>
    </row>
    <row r="486" ht="13.2" spans="1:1">
      <c r="A486" s="48"/>
    </row>
    <row r="487" ht="13.2" spans="1:1">
      <c r="A487" s="48"/>
    </row>
    <row r="488" ht="13.2" spans="1:1">
      <c r="A488" s="48"/>
    </row>
    <row r="489" ht="13.2" spans="1:1">
      <c r="A489" s="48"/>
    </row>
    <row r="490" ht="13.2" spans="1:1">
      <c r="A490" s="48"/>
    </row>
    <row r="491" ht="13.2" spans="1:1">
      <c r="A491" s="48"/>
    </row>
    <row r="492" ht="13.2" spans="1:1">
      <c r="A492" s="48"/>
    </row>
    <row r="493" ht="13.2" spans="1:1">
      <c r="A493" s="48"/>
    </row>
    <row r="494" ht="13.2" spans="1:1">
      <c r="A494" s="48"/>
    </row>
    <row r="495" ht="13.2" spans="1:1">
      <c r="A495" s="48"/>
    </row>
    <row r="496" ht="13.2" spans="1:1">
      <c r="A496" s="48"/>
    </row>
    <row r="497" ht="13.2" spans="1:1">
      <c r="A497" s="48"/>
    </row>
    <row r="498" ht="13.2" spans="1:1">
      <c r="A498" s="48"/>
    </row>
    <row r="499" ht="13.2" spans="1:1">
      <c r="A499" s="48"/>
    </row>
    <row r="500" ht="13.2" spans="1:1">
      <c r="A500" s="48"/>
    </row>
    <row r="501" ht="13.2" spans="1:1">
      <c r="A501" s="48"/>
    </row>
    <row r="502" ht="13.2" spans="1:1">
      <c r="A502" s="48"/>
    </row>
    <row r="503" ht="13.2" spans="1:1">
      <c r="A503" s="48"/>
    </row>
    <row r="504" ht="13.2" spans="1:1">
      <c r="A504" s="48"/>
    </row>
    <row r="505" ht="13.2" spans="1:1">
      <c r="A505" s="48"/>
    </row>
    <row r="506" ht="13.2" spans="1:1">
      <c r="A506" s="48"/>
    </row>
    <row r="507" ht="13.2" spans="1:1">
      <c r="A507" s="48"/>
    </row>
    <row r="508" ht="13.2" spans="1:1">
      <c r="A508" s="48"/>
    </row>
    <row r="509" ht="13.2" spans="1:1">
      <c r="A509" s="48"/>
    </row>
    <row r="510" ht="13.2" spans="1:1">
      <c r="A510" s="48"/>
    </row>
    <row r="511" ht="13.2" spans="1:1">
      <c r="A511" s="48"/>
    </row>
    <row r="512" ht="13.2" spans="1:1">
      <c r="A512" s="48"/>
    </row>
    <row r="513" ht="13.2" spans="1:1">
      <c r="A513" s="48"/>
    </row>
    <row r="514" ht="13.2" spans="1:1">
      <c r="A514" s="48"/>
    </row>
    <row r="515" ht="13.2" spans="1:1">
      <c r="A515" s="48"/>
    </row>
    <row r="516" ht="13.2" spans="1:1">
      <c r="A516" s="48"/>
    </row>
    <row r="517" ht="13.2" spans="1:1">
      <c r="A517" s="48"/>
    </row>
    <row r="518" ht="13.2" spans="1:1">
      <c r="A518" s="48"/>
    </row>
    <row r="519" ht="13.2" spans="1:1">
      <c r="A519" s="48"/>
    </row>
    <row r="520" ht="13.2" spans="1:1">
      <c r="A520" s="48"/>
    </row>
    <row r="521" ht="13.2" spans="1:1">
      <c r="A521" s="48"/>
    </row>
    <row r="522" ht="13.2" spans="1:1">
      <c r="A522" s="48"/>
    </row>
    <row r="523" ht="13.2" spans="1:1">
      <c r="A523" s="48"/>
    </row>
    <row r="524" ht="13.2" spans="1:1">
      <c r="A524" s="48"/>
    </row>
    <row r="525" ht="13.2" spans="1:1">
      <c r="A525" s="48"/>
    </row>
    <row r="526" ht="13.2" spans="1:1">
      <c r="A526" s="48"/>
    </row>
    <row r="527" ht="13.2" spans="1:1">
      <c r="A527" s="48"/>
    </row>
    <row r="528" ht="13.2" spans="1:1">
      <c r="A528" s="48"/>
    </row>
    <row r="529" ht="13.2" spans="1:1">
      <c r="A529" s="48"/>
    </row>
    <row r="530" ht="13.2" spans="1:1">
      <c r="A530" s="48"/>
    </row>
    <row r="531" ht="13.2" spans="1:1">
      <c r="A531" s="48"/>
    </row>
    <row r="532" ht="13.2" spans="1:1">
      <c r="A532" s="48"/>
    </row>
    <row r="533" ht="13.2" spans="1:1">
      <c r="A533" s="48"/>
    </row>
    <row r="534" ht="13.2" spans="1:1">
      <c r="A534" s="48"/>
    </row>
    <row r="535" ht="13.2" spans="1:1">
      <c r="A535" s="48"/>
    </row>
    <row r="536" ht="13.2" spans="1:1">
      <c r="A536" s="48"/>
    </row>
    <row r="537" ht="13.2" spans="1:1">
      <c r="A537" s="48"/>
    </row>
    <row r="538" ht="13.2" spans="1:1">
      <c r="A538" s="48"/>
    </row>
    <row r="539" ht="13.2" spans="1:1">
      <c r="A539" s="48"/>
    </row>
    <row r="540" ht="13.2" spans="1:1">
      <c r="A540" s="48"/>
    </row>
    <row r="541" ht="13.2" spans="1:1">
      <c r="A541" s="48"/>
    </row>
    <row r="542" ht="13.2" spans="1:1">
      <c r="A542" s="48"/>
    </row>
    <row r="543" ht="13.2" spans="1:1">
      <c r="A543" s="48"/>
    </row>
    <row r="544" ht="13.2" spans="1:1">
      <c r="A544" s="48"/>
    </row>
    <row r="545" ht="13.2" spans="1:1">
      <c r="A545" s="48"/>
    </row>
    <row r="546" ht="13.2" spans="1:1">
      <c r="A546" s="48"/>
    </row>
    <row r="547" ht="13.2" spans="1:1">
      <c r="A547" s="48"/>
    </row>
    <row r="548" ht="13.2" spans="1:1">
      <c r="A548" s="48"/>
    </row>
    <row r="549" ht="13.2" spans="1:1">
      <c r="A549" s="48"/>
    </row>
    <row r="550" ht="13.2" spans="1:1">
      <c r="A550" s="48"/>
    </row>
    <row r="551" ht="13.2" spans="1:1">
      <c r="A551" s="48"/>
    </row>
    <row r="552" ht="13.2" spans="1:1">
      <c r="A552" s="48"/>
    </row>
    <row r="553" ht="13.2" spans="1:1">
      <c r="A553" s="48"/>
    </row>
    <row r="554" ht="13.2" spans="1:1">
      <c r="A554" s="48"/>
    </row>
    <row r="555" ht="13.2" spans="1:1">
      <c r="A555" s="48"/>
    </row>
    <row r="556" ht="13.2" spans="1:1">
      <c r="A556" s="48"/>
    </row>
    <row r="557" ht="13.2" spans="1:1">
      <c r="A557" s="48"/>
    </row>
    <row r="558" ht="13.2" spans="1:1">
      <c r="A558" s="48"/>
    </row>
    <row r="559" ht="13.2" spans="1:1">
      <c r="A559" s="48"/>
    </row>
    <row r="560" ht="13.2" spans="1:1">
      <c r="A560" s="48"/>
    </row>
    <row r="561" ht="13.2" spans="1:1">
      <c r="A561" s="48"/>
    </row>
    <row r="562" ht="13.2" spans="1:1">
      <c r="A562" s="48"/>
    </row>
    <row r="563" ht="13.2" spans="1:1">
      <c r="A563" s="48"/>
    </row>
    <row r="564" ht="13.2" spans="1:1">
      <c r="A564" s="48"/>
    </row>
    <row r="565" ht="13.2" spans="1:1">
      <c r="A565" s="48"/>
    </row>
    <row r="566" ht="13.2" spans="1:1">
      <c r="A566" s="48"/>
    </row>
    <row r="567" ht="13.2" spans="1:1">
      <c r="A567" s="48"/>
    </row>
    <row r="568" ht="13.2" spans="1:1">
      <c r="A568" s="48"/>
    </row>
    <row r="569" ht="13.2" spans="1:1">
      <c r="A569" s="48"/>
    </row>
    <row r="570" ht="13.2" spans="1:1">
      <c r="A570" s="48"/>
    </row>
    <row r="571" ht="13.2" spans="1:1">
      <c r="A571" s="48"/>
    </row>
    <row r="572" ht="13.2" spans="1:1">
      <c r="A572" s="48"/>
    </row>
    <row r="573" ht="13.2" spans="1:1">
      <c r="A573" s="48"/>
    </row>
    <row r="574" ht="13.2" spans="1:1">
      <c r="A574" s="48"/>
    </row>
    <row r="575" ht="13.2" spans="1:1">
      <c r="A575" s="48"/>
    </row>
    <row r="576" ht="13.2" spans="1:1">
      <c r="A576" s="48"/>
    </row>
    <row r="577" ht="13.2" spans="1:1">
      <c r="A577" s="48"/>
    </row>
    <row r="578" ht="13.2" spans="1:1">
      <c r="A578" s="48"/>
    </row>
    <row r="579" ht="13.2" spans="1:1">
      <c r="A579" s="48"/>
    </row>
    <row r="580" ht="13.2" spans="1:1">
      <c r="A580" s="48"/>
    </row>
    <row r="581" ht="13.2" spans="1:1">
      <c r="A581" s="48"/>
    </row>
    <row r="582" ht="13.2" spans="1:1">
      <c r="A582" s="48"/>
    </row>
    <row r="583" ht="13.2" spans="1:1">
      <c r="A583" s="48"/>
    </row>
    <row r="584" ht="13.2" spans="1:1">
      <c r="A584" s="48"/>
    </row>
    <row r="585" ht="13.2" spans="1:1">
      <c r="A585" s="48"/>
    </row>
    <row r="586" ht="13.2" spans="1:1">
      <c r="A586" s="48"/>
    </row>
    <row r="587" ht="13.2" spans="1:1">
      <c r="A587" s="48"/>
    </row>
    <row r="588" ht="13.2" spans="1:1">
      <c r="A588" s="48"/>
    </row>
    <row r="589" ht="13.2" spans="1:1">
      <c r="A589" s="48"/>
    </row>
    <row r="590" ht="13.2" spans="1:1">
      <c r="A590" s="48"/>
    </row>
    <row r="591" ht="13.2" spans="1:1">
      <c r="A591" s="48"/>
    </row>
    <row r="592" ht="13.2" spans="1:1">
      <c r="A592" s="48"/>
    </row>
    <row r="593" ht="13.2" spans="1:1">
      <c r="A593" s="48"/>
    </row>
    <row r="594" ht="13.2" spans="1:1">
      <c r="A594" s="48"/>
    </row>
    <row r="595" ht="13.2" spans="1:1">
      <c r="A595" s="48"/>
    </row>
    <row r="596" ht="13.2" spans="1:1">
      <c r="A596" s="48"/>
    </row>
    <row r="597" ht="13.2" spans="1:1">
      <c r="A597" s="48"/>
    </row>
    <row r="598" ht="13.2" spans="1:1">
      <c r="A598" s="48"/>
    </row>
    <row r="599" ht="13.2" spans="1:1">
      <c r="A599" s="48"/>
    </row>
    <row r="600" ht="13.2" spans="1:1">
      <c r="A600" s="48"/>
    </row>
    <row r="601" ht="13.2" spans="1:1">
      <c r="A601" s="48"/>
    </row>
    <row r="602" ht="13.2" spans="1:1">
      <c r="A602" s="48"/>
    </row>
    <row r="603" ht="13.2" spans="1:1">
      <c r="A603" s="48"/>
    </row>
    <row r="604" ht="13.2" spans="1:1">
      <c r="A604" s="48"/>
    </row>
    <row r="605" ht="13.2" spans="1:1">
      <c r="A605" s="48"/>
    </row>
    <row r="606" ht="13.2" spans="1:1">
      <c r="A606" s="48"/>
    </row>
    <row r="607" ht="13.2" spans="1:1">
      <c r="A607" s="48"/>
    </row>
    <row r="608" ht="13.2" spans="1:1">
      <c r="A608" s="48"/>
    </row>
    <row r="609" ht="13.2" spans="1:1">
      <c r="A609" s="48"/>
    </row>
    <row r="610" ht="13.2" spans="1:1">
      <c r="A610" s="48"/>
    </row>
    <row r="611" ht="13.2" spans="1:1">
      <c r="A611" s="48"/>
    </row>
    <row r="612" ht="13.2" spans="1:1">
      <c r="A612" s="48"/>
    </row>
    <row r="613" ht="13.2" spans="1:1">
      <c r="A613" s="48"/>
    </row>
    <row r="614" ht="13.2" spans="1:1">
      <c r="A614" s="48"/>
    </row>
    <row r="615" ht="13.2" spans="1:1">
      <c r="A615" s="48"/>
    </row>
    <row r="616" ht="13.2" spans="1:1">
      <c r="A616" s="48"/>
    </row>
    <row r="617" ht="13.2" spans="1:1">
      <c r="A617" s="48"/>
    </row>
    <row r="618" ht="13.2" spans="1:1">
      <c r="A618" s="48"/>
    </row>
    <row r="619" ht="13.2" spans="1:1">
      <c r="A619" s="48"/>
    </row>
    <row r="620" ht="13.2" spans="1:1">
      <c r="A620" s="48"/>
    </row>
    <row r="621" ht="13.2" spans="1:1">
      <c r="A621" s="48"/>
    </row>
    <row r="622" ht="13.2" spans="1:1">
      <c r="A622" s="48"/>
    </row>
    <row r="623" ht="13.2" spans="1:1">
      <c r="A623" s="48"/>
    </row>
    <row r="624" ht="13.2" spans="1:1">
      <c r="A624" s="48"/>
    </row>
    <row r="625" ht="13.2" spans="1:1">
      <c r="A625" s="48"/>
    </row>
    <row r="626" ht="13.2" spans="1:1">
      <c r="A626" s="48"/>
    </row>
    <row r="627" ht="13.2" spans="1:1">
      <c r="A627" s="48"/>
    </row>
    <row r="628" ht="13.2" spans="1:1">
      <c r="A628" s="48"/>
    </row>
    <row r="629" ht="13.2" spans="1:1">
      <c r="A629" s="48"/>
    </row>
    <row r="630" ht="13.2" spans="1:1">
      <c r="A630" s="48"/>
    </row>
    <row r="631" ht="13.2" spans="1:1">
      <c r="A631" s="48"/>
    </row>
    <row r="632" ht="13.2" spans="1:1">
      <c r="A632" s="48"/>
    </row>
    <row r="633" ht="13.2" spans="1:1">
      <c r="A633" s="48"/>
    </row>
    <row r="634" ht="13.2" spans="1:1">
      <c r="A634" s="48"/>
    </row>
    <row r="635" ht="13.2" spans="1:1">
      <c r="A635" s="48"/>
    </row>
    <row r="636" ht="13.2" spans="1:1">
      <c r="A636" s="48"/>
    </row>
    <row r="637" ht="13.2" spans="1:1">
      <c r="A637" s="48"/>
    </row>
    <row r="638" ht="13.2" spans="1:1">
      <c r="A638" s="48"/>
    </row>
    <row r="639" ht="13.2" spans="1:1">
      <c r="A639" s="48"/>
    </row>
    <row r="640" ht="13.2" spans="1:1">
      <c r="A640" s="48"/>
    </row>
    <row r="641" ht="13.2" spans="1:1">
      <c r="A641" s="48"/>
    </row>
    <row r="642" ht="13.2" spans="1:1">
      <c r="A642" s="48"/>
    </row>
    <row r="643" ht="13.2" spans="1:1">
      <c r="A643" s="48"/>
    </row>
    <row r="644" ht="13.2" spans="1:1">
      <c r="A644" s="48"/>
    </row>
    <row r="645" ht="13.2" spans="1:1">
      <c r="A645" s="48"/>
    </row>
    <row r="646" ht="13.2" spans="1:1">
      <c r="A646" s="48"/>
    </row>
    <row r="647" ht="13.2" spans="1:1">
      <c r="A647" s="48"/>
    </row>
    <row r="648" ht="13.2" spans="1:1">
      <c r="A648" s="48"/>
    </row>
    <row r="649" ht="13.2" spans="1:1">
      <c r="A649" s="48"/>
    </row>
    <row r="650" ht="13.2" spans="1:1">
      <c r="A650" s="48"/>
    </row>
    <row r="651" ht="13.2" spans="1:1">
      <c r="A651" s="48"/>
    </row>
    <row r="652" ht="13.2" spans="1:1">
      <c r="A652" s="48"/>
    </row>
    <row r="653" ht="13.2" spans="1:1">
      <c r="A653" s="48"/>
    </row>
    <row r="654" ht="13.2" spans="1:1">
      <c r="A654" s="48"/>
    </row>
    <row r="655" ht="13.2" spans="1:1">
      <c r="A655" s="48"/>
    </row>
    <row r="656" ht="13.2" spans="1:1">
      <c r="A656" s="48"/>
    </row>
    <row r="657" ht="13.2" spans="1:1">
      <c r="A657" s="48"/>
    </row>
    <row r="658" ht="13.2" spans="1:1">
      <c r="A658" s="48"/>
    </row>
    <row r="659" ht="13.2" spans="1:1">
      <c r="A659" s="48"/>
    </row>
    <row r="660" ht="13.2" spans="1:1">
      <c r="A660" s="48"/>
    </row>
    <row r="661" ht="13.2" spans="1:1">
      <c r="A661" s="48"/>
    </row>
    <row r="662" ht="13.2" spans="1:1">
      <c r="A662" s="48"/>
    </row>
    <row r="663" ht="13.2" spans="1:1">
      <c r="A663" s="48"/>
    </row>
    <row r="664" ht="13.2" spans="1:1">
      <c r="A664" s="48"/>
    </row>
    <row r="665" ht="13.2" spans="1:1">
      <c r="A665" s="48"/>
    </row>
    <row r="666" ht="13.2" spans="1:1">
      <c r="A666" s="48"/>
    </row>
    <row r="667" ht="13.2" spans="1:1">
      <c r="A667" s="48"/>
    </row>
    <row r="668" ht="13.2" spans="1:1">
      <c r="A668" s="48"/>
    </row>
    <row r="669" ht="13.2" spans="1:1">
      <c r="A669" s="48"/>
    </row>
    <row r="670" ht="13.2" spans="1:1">
      <c r="A670" s="48"/>
    </row>
    <row r="671" ht="13.2" spans="1:1">
      <c r="A671" s="48"/>
    </row>
    <row r="672" ht="13.2" spans="1:1">
      <c r="A672" s="48"/>
    </row>
    <row r="673" ht="13.2" spans="1:1">
      <c r="A673" s="48"/>
    </row>
    <row r="674" ht="13.2" spans="1:1">
      <c r="A674" s="48"/>
    </row>
    <row r="675" ht="13.2" spans="1:1">
      <c r="A675" s="48"/>
    </row>
    <row r="676" ht="13.2" spans="1:1">
      <c r="A676" s="48"/>
    </row>
    <row r="677" ht="13.2" spans="1:1">
      <c r="A677" s="48"/>
    </row>
    <row r="678" ht="13.2" spans="1:1">
      <c r="A678" s="48"/>
    </row>
    <row r="679" ht="13.2" spans="1:1">
      <c r="A679" s="48"/>
    </row>
    <row r="680" ht="13.2" spans="1:1">
      <c r="A680" s="48"/>
    </row>
    <row r="681" ht="13.2" spans="1:1">
      <c r="A681" s="48"/>
    </row>
    <row r="682" ht="13.2" spans="1:1">
      <c r="A682" s="48"/>
    </row>
    <row r="683" ht="13.2" spans="1:1">
      <c r="A683" s="48"/>
    </row>
    <row r="684" ht="13.2" spans="1:1">
      <c r="A684" s="48"/>
    </row>
    <row r="685" ht="13.2" spans="1:1">
      <c r="A685" s="48"/>
    </row>
    <row r="686" ht="13.2" spans="1:1">
      <c r="A686" s="48"/>
    </row>
    <row r="687" ht="13.2" spans="1:1">
      <c r="A687" s="48"/>
    </row>
    <row r="688" ht="13.2" spans="1:1">
      <c r="A688" s="48"/>
    </row>
    <row r="689" ht="13.2" spans="1:1">
      <c r="A689" s="48"/>
    </row>
    <row r="690" ht="13.2" spans="1:1">
      <c r="A690" s="48"/>
    </row>
    <row r="691" ht="13.2" spans="1:1">
      <c r="A691" s="48"/>
    </row>
    <row r="692" ht="13.2" spans="1:1">
      <c r="A692" s="48"/>
    </row>
    <row r="693" ht="13.2" spans="1:1">
      <c r="A693" s="48"/>
    </row>
    <row r="694" ht="13.2" spans="1:1">
      <c r="A694" s="48"/>
    </row>
    <row r="695" ht="13.2" spans="1:1">
      <c r="A695" s="48"/>
    </row>
    <row r="696" ht="13.2" spans="1:1">
      <c r="A696" s="48"/>
    </row>
    <row r="697" ht="13.2" spans="1:1">
      <c r="A697" s="48"/>
    </row>
    <row r="698" ht="13.2" spans="1:1">
      <c r="A698" s="48"/>
    </row>
    <row r="699" ht="13.2" spans="1:1">
      <c r="A699" s="48"/>
    </row>
    <row r="700" ht="13.2" spans="1:1">
      <c r="A700" s="48"/>
    </row>
    <row r="701" ht="13.2" spans="1:1">
      <c r="A701" s="48"/>
    </row>
    <row r="702" ht="13.2" spans="1:1">
      <c r="A702" s="48"/>
    </row>
    <row r="703" ht="13.2" spans="1:1">
      <c r="A703" s="48"/>
    </row>
    <row r="704" ht="13.2" spans="1:1">
      <c r="A704" s="48"/>
    </row>
    <row r="705" ht="13.2" spans="1:1">
      <c r="A705" s="48"/>
    </row>
    <row r="706" ht="13.2" spans="1:1">
      <c r="A706" s="48"/>
    </row>
    <row r="707" ht="13.2" spans="1:1">
      <c r="A707" s="48"/>
    </row>
    <row r="708" ht="13.2" spans="1:1">
      <c r="A708" s="48"/>
    </row>
    <row r="709" ht="13.2" spans="1:1">
      <c r="A709" s="48"/>
    </row>
    <row r="710" ht="13.2" spans="1:1">
      <c r="A710" s="48"/>
    </row>
    <row r="711" ht="13.2" spans="1:1">
      <c r="A711" s="48"/>
    </row>
    <row r="712" ht="13.2" spans="1:1">
      <c r="A712" s="48"/>
    </row>
    <row r="713" ht="13.2" spans="1:1">
      <c r="A713" s="48"/>
    </row>
    <row r="714" ht="13.2" spans="1:1">
      <c r="A714" s="48"/>
    </row>
    <row r="715" ht="13.2" spans="1:1">
      <c r="A715" s="48"/>
    </row>
    <row r="716" ht="13.2" spans="1:1">
      <c r="A716" s="48"/>
    </row>
    <row r="717" ht="13.2" spans="1:1">
      <c r="A717" s="48"/>
    </row>
    <row r="718" ht="13.2" spans="1:1">
      <c r="A718" s="48"/>
    </row>
    <row r="719" ht="13.2" spans="1:1">
      <c r="A719" s="48"/>
    </row>
    <row r="720" ht="13.2" spans="1:1">
      <c r="A720" s="48"/>
    </row>
    <row r="721" ht="13.2" spans="1:1">
      <c r="A721" s="48"/>
    </row>
    <row r="722" ht="13.2" spans="1:1">
      <c r="A722" s="48"/>
    </row>
    <row r="723" ht="13.2" spans="1:1">
      <c r="A723" s="48"/>
    </row>
    <row r="724" ht="13.2" spans="1:1">
      <c r="A724" s="48"/>
    </row>
    <row r="725" ht="13.2" spans="1:1">
      <c r="A725" s="48"/>
    </row>
    <row r="726" ht="13.2" spans="1:1">
      <c r="A726" s="48"/>
    </row>
    <row r="727" ht="13.2" spans="1:1">
      <c r="A727" s="48"/>
    </row>
    <row r="728" ht="13.2" spans="1:1">
      <c r="A728" s="48"/>
    </row>
    <row r="729" ht="13.2" spans="1:1">
      <c r="A729" s="48"/>
    </row>
    <row r="730" ht="13.2" spans="1:1">
      <c r="A730" s="48"/>
    </row>
    <row r="731" ht="13.2" spans="1:1">
      <c r="A731" s="48"/>
    </row>
    <row r="732" ht="13.2" spans="1:1">
      <c r="A732" s="48"/>
    </row>
    <row r="733" ht="13.2" spans="1:1">
      <c r="A733" s="48"/>
    </row>
    <row r="734" ht="13.2" spans="1:1">
      <c r="A734" s="48"/>
    </row>
    <row r="735" ht="13.2" spans="1:1">
      <c r="A735" s="48"/>
    </row>
    <row r="736" ht="13.2" spans="1:1">
      <c r="A736" s="48"/>
    </row>
    <row r="737" ht="13.2" spans="1:1">
      <c r="A737" s="48"/>
    </row>
    <row r="738" ht="13.2" spans="1:1">
      <c r="A738" s="48"/>
    </row>
    <row r="739" ht="13.2" spans="1:1">
      <c r="A739" s="48"/>
    </row>
    <row r="740" ht="13.2" spans="1:1">
      <c r="A740" s="48"/>
    </row>
    <row r="741" ht="13.2" spans="1:1">
      <c r="A741" s="48"/>
    </row>
    <row r="742" ht="13.2" spans="1:1">
      <c r="A742" s="48"/>
    </row>
    <row r="743" ht="13.2" spans="1:1">
      <c r="A743" s="48"/>
    </row>
    <row r="744" ht="13.2" spans="1:1">
      <c r="A744" s="48"/>
    </row>
    <row r="745" ht="13.2" spans="1:1">
      <c r="A745" s="48"/>
    </row>
    <row r="746" ht="13.2" spans="1:1">
      <c r="A746" s="48"/>
    </row>
    <row r="747" ht="13.2" spans="1:1">
      <c r="A747" s="48"/>
    </row>
    <row r="748" ht="13.2" spans="1:1">
      <c r="A748" s="48"/>
    </row>
    <row r="749" ht="13.2" spans="1:1">
      <c r="A749" s="48"/>
    </row>
    <row r="750" ht="13.2" spans="1:1">
      <c r="A750" s="48"/>
    </row>
    <row r="751" ht="13.2" spans="1:1">
      <c r="A751" s="48"/>
    </row>
    <row r="752" ht="13.2" spans="1:1">
      <c r="A752" s="48"/>
    </row>
    <row r="753" ht="13.2" spans="1:1">
      <c r="A753" s="48"/>
    </row>
    <row r="754" ht="13.2" spans="1:1">
      <c r="A754" s="48"/>
    </row>
    <row r="755" ht="13.2" spans="1:1">
      <c r="A755" s="48"/>
    </row>
    <row r="756" ht="13.2" spans="1:1">
      <c r="A756" s="48"/>
    </row>
    <row r="757" ht="13.2" spans="1:1">
      <c r="A757" s="48"/>
    </row>
    <row r="758" ht="13.2" spans="1:1">
      <c r="A758" s="48"/>
    </row>
    <row r="759" ht="13.2" spans="1:1">
      <c r="A759" s="48"/>
    </row>
    <row r="760" ht="13.2" spans="1:1">
      <c r="A760" s="48"/>
    </row>
    <row r="761" ht="13.2" spans="1:1">
      <c r="A761" s="48"/>
    </row>
    <row r="762" ht="13.2" spans="1:1">
      <c r="A762" s="48"/>
    </row>
    <row r="763" ht="13.2" spans="1:1">
      <c r="A763" s="48"/>
    </row>
    <row r="764" ht="13.2" spans="1:1">
      <c r="A764" s="48"/>
    </row>
    <row r="765" ht="13.2" spans="1:1">
      <c r="A765" s="48"/>
    </row>
    <row r="766" ht="13.2" spans="1:1">
      <c r="A766" s="48"/>
    </row>
    <row r="767" ht="13.2" spans="1:1">
      <c r="A767" s="48"/>
    </row>
    <row r="768" ht="13.2" spans="1:1">
      <c r="A768" s="48"/>
    </row>
    <row r="769" ht="13.2" spans="1:1">
      <c r="A769" s="48"/>
    </row>
    <row r="770" ht="13.2" spans="1:1">
      <c r="A770" s="48"/>
    </row>
    <row r="771" ht="13.2" spans="1:1">
      <c r="A771" s="48"/>
    </row>
    <row r="772" ht="13.2" spans="1:1">
      <c r="A772" s="48"/>
    </row>
    <row r="773" ht="13.2" spans="1:1">
      <c r="A773" s="48"/>
    </row>
    <row r="774" ht="13.2" spans="1:1">
      <c r="A774" s="48"/>
    </row>
    <row r="775" ht="13.2" spans="1:1">
      <c r="A775" s="48"/>
    </row>
    <row r="776" ht="13.2" spans="1:1">
      <c r="A776" s="48"/>
    </row>
    <row r="777" ht="13.2" spans="1:1">
      <c r="A777" s="48"/>
    </row>
    <row r="778" ht="13.2" spans="1:1">
      <c r="A778" s="48"/>
    </row>
    <row r="779" ht="13.2" spans="1:1">
      <c r="A779" s="48"/>
    </row>
    <row r="780" ht="13.2" spans="1:1">
      <c r="A780" s="48"/>
    </row>
    <row r="781" ht="13.2" spans="1:1">
      <c r="A781" s="48"/>
    </row>
    <row r="782" ht="13.2" spans="1:1">
      <c r="A782" s="48"/>
    </row>
    <row r="783" ht="13.2" spans="1:1">
      <c r="A783" s="48"/>
    </row>
    <row r="784" ht="13.2" spans="1:1">
      <c r="A784" s="48"/>
    </row>
    <row r="785" ht="13.2" spans="1:1">
      <c r="A785" s="48"/>
    </row>
    <row r="786" ht="13.2" spans="1:1">
      <c r="A786" s="48"/>
    </row>
    <row r="787" ht="13.2" spans="1:1">
      <c r="A787" s="48"/>
    </row>
    <row r="788" ht="13.2" spans="1:1">
      <c r="A788" s="48"/>
    </row>
    <row r="789" ht="13.2" spans="1:1">
      <c r="A789" s="48"/>
    </row>
    <row r="790" ht="13.2" spans="1:1">
      <c r="A790" s="48"/>
    </row>
    <row r="791" ht="13.2" spans="1:1">
      <c r="A791" s="48"/>
    </row>
    <row r="792" ht="13.2" spans="1:1">
      <c r="A792" s="48"/>
    </row>
    <row r="793" ht="13.2" spans="1:1">
      <c r="A793" s="48"/>
    </row>
    <row r="794" ht="13.2" spans="1:1">
      <c r="A794" s="48"/>
    </row>
    <row r="795" ht="13.2" spans="1:1">
      <c r="A795" s="48"/>
    </row>
    <row r="796" ht="13.2" spans="1:1">
      <c r="A796" s="48"/>
    </row>
    <row r="797" ht="13.2" spans="1:1">
      <c r="A797" s="48"/>
    </row>
    <row r="798" ht="13.2" spans="1:1">
      <c r="A798" s="48"/>
    </row>
    <row r="799" ht="13.2" spans="1:1">
      <c r="A799" s="48"/>
    </row>
    <row r="800" ht="13.2" spans="1:1">
      <c r="A800" s="48"/>
    </row>
    <row r="801" ht="13.2" spans="1:1">
      <c r="A801" s="48"/>
    </row>
    <row r="802" ht="13.2" spans="1:1">
      <c r="A802" s="48"/>
    </row>
    <row r="803" ht="13.2" spans="1:1">
      <c r="A803" s="48"/>
    </row>
    <row r="804" ht="13.2" spans="1:1">
      <c r="A804" s="48"/>
    </row>
    <row r="805" ht="13.2" spans="1:1">
      <c r="A805" s="48"/>
    </row>
    <row r="806" ht="13.2" spans="1:1">
      <c r="A806" s="48"/>
    </row>
    <row r="807" ht="13.2" spans="1:1">
      <c r="A807" s="48"/>
    </row>
    <row r="808" ht="13.2" spans="1:1">
      <c r="A808" s="48"/>
    </row>
    <row r="809" ht="13.2" spans="1:1">
      <c r="A809" s="48"/>
    </row>
    <row r="810" ht="13.2" spans="1:1">
      <c r="A810" s="48"/>
    </row>
    <row r="811" ht="13.2" spans="1:1">
      <c r="A811" s="48"/>
    </row>
    <row r="812" ht="13.2" spans="1:1">
      <c r="A812" s="48"/>
    </row>
    <row r="813" ht="13.2" spans="1:1">
      <c r="A813" s="48"/>
    </row>
    <row r="814" ht="13.2" spans="1:1">
      <c r="A814" s="48"/>
    </row>
    <row r="815" ht="13.2" spans="1:1">
      <c r="A815" s="48"/>
    </row>
    <row r="816" ht="13.2" spans="1:1">
      <c r="A816" s="48"/>
    </row>
    <row r="817" ht="13.2" spans="1:1">
      <c r="A817" s="48"/>
    </row>
    <row r="818" ht="13.2" spans="1:1">
      <c r="A818" s="48"/>
    </row>
    <row r="819" ht="13.2" spans="1:1">
      <c r="A819" s="48"/>
    </row>
    <row r="820" ht="13.2" spans="1:1">
      <c r="A820" s="48"/>
    </row>
    <row r="821" ht="13.2" spans="1:1">
      <c r="A821" s="48"/>
    </row>
    <row r="822" ht="13.2" spans="1:1">
      <c r="A822" s="48"/>
    </row>
    <row r="823" ht="13.2" spans="1:1">
      <c r="A823" s="48"/>
    </row>
    <row r="824" ht="13.2" spans="1:1">
      <c r="A824" s="48"/>
    </row>
    <row r="825" ht="13.2" spans="1:1">
      <c r="A825" s="48"/>
    </row>
    <row r="826" ht="13.2" spans="1:1">
      <c r="A826" s="48"/>
    </row>
    <row r="827" ht="13.2" spans="1:1">
      <c r="A827" s="48"/>
    </row>
    <row r="828" ht="13.2" spans="1:1">
      <c r="A828" s="48"/>
    </row>
    <row r="829" ht="13.2" spans="1:1">
      <c r="A829" s="48"/>
    </row>
    <row r="830" ht="13.2" spans="1:1">
      <c r="A830" s="48"/>
    </row>
    <row r="831" ht="13.2" spans="1:1">
      <c r="A831" s="48"/>
    </row>
    <row r="832" ht="13.2" spans="1:1">
      <c r="A832" s="48"/>
    </row>
    <row r="833" ht="13.2" spans="1:1">
      <c r="A833" s="48"/>
    </row>
    <row r="834" ht="13.2" spans="1:1">
      <c r="A834" s="48"/>
    </row>
    <row r="835" ht="13.2" spans="1:1">
      <c r="A835" s="48"/>
    </row>
    <row r="836" ht="13.2" spans="1:1">
      <c r="A836" s="48"/>
    </row>
    <row r="837" ht="13.2" spans="1:1">
      <c r="A837" s="48"/>
    </row>
    <row r="838" ht="13.2" spans="1:1">
      <c r="A838" s="48"/>
    </row>
    <row r="839" ht="13.2" spans="1:1">
      <c r="A839" s="48"/>
    </row>
    <row r="840" ht="13.2" spans="1:1">
      <c r="A840" s="48"/>
    </row>
    <row r="841" ht="13.2" spans="1:1">
      <c r="A841" s="48"/>
    </row>
    <row r="842" ht="13.2" spans="1:1">
      <c r="A842" s="48"/>
    </row>
    <row r="843" ht="13.2" spans="1:1">
      <c r="A843" s="48"/>
    </row>
    <row r="844" ht="13.2" spans="1:1">
      <c r="A844" s="48"/>
    </row>
    <row r="845" ht="13.2" spans="1:1">
      <c r="A845" s="48"/>
    </row>
    <row r="846" ht="13.2" spans="1:1">
      <c r="A846" s="48"/>
    </row>
    <row r="847" ht="13.2" spans="1:1">
      <c r="A847" s="48"/>
    </row>
    <row r="848" ht="13.2" spans="1:1">
      <c r="A848" s="48"/>
    </row>
    <row r="849" ht="13.2" spans="1:1">
      <c r="A849" s="48"/>
    </row>
    <row r="850" ht="13.2" spans="1:1">
      <c r="A850" s="48"/>
    </row>
    <row r="851" ht="13.2" spans="1:1">
      <c r="A851" s="48"/>
    </row>
    <row r="852" ht="13.2" spans="1:1">
      <c r="A852" s="48"/>
    </row>
    <row r="853" ht="13.2" spans="1:1">
      <c r="A853" s="48"/>
    </row>
    <row r="854" ht="13.2" spans="1:1">
      <c r="A854" s="48"/>
    </row>
    <row r="855" ht="13.2" spans="1:1">
      <c r="A855" s="48"/>
    </row>
    <row r="856" ht="13.2" spans="1:1">
      <c r="A856" s="48"/>
    </row>
    <row r="857" ht="13.2" spans="1:1">
      <c r="A857" s="48"/>
    </row>
    <row r="858" ht="13.2" spans="1:1">
      <c r="A858" s="48"/>
    </row>
    <row r="859" ht="13.2" spans="1:1">
      <c r="A859" s="48"/>
    </row>
    <row r="860" ht="13.2" spans="1:1">
      <c r="A860" s="48"/>
    </row>
    <row r="861" ht="13.2" spans="1:1">
      <c r="A861" s="48"/>
    </row>
    <row r="862" ht="13.2" spans="1:1">
      <c r="A862" s="48"/>
    </row>
    <row r="863" ht="13.2" spans="1:1">
      <c r="A863" s="48"/>
    </row>
    <row r="864" ht="13.2" spans="1:1">
      <c r="A864" s="48"/>
    </row>
    <row r="865" ht="13.2" spans="1:1">
      <c r="A865" s="48"/>
    </row>
    <row r="866" ht="13.2" spans="1:1">
      <c r="A866" s="48"/>
    </row>
    <row r="867" ht="13.2" spans="1:1">
      <c r="A867" s="48"/>
    </row>
    <row r="868" ht="13.2" spans="1:1">
      <c r="A868" s="48"/>
    </row>
    <row r="869" ht="13.2" spans="1:1">
      <c r="A869" s="48"/>
    </row>
    <row r="870" ht="13.2" spans="1:1">
      <c r="A870" s="48"/>
    </row>
    <row r="871" ht="13.2" spans="1:1">
      <c r="A871" s="48"/>
    </row>
    <row r="872" ht="13.2" spans="1:1">
      <c r="A872" s="48"/>
    </row>
    <row r="873" ht="13.2" spans="1:1">
      <c r="A873" s="48"/>
    </row>
    <row r="874" ht="13.2" spans="1:1">
      <c r="A874" s="48"/>
    </row>
    <row r="875" ht="13.2" spans="1:1">
      <c r="A875" s="48"/>
    </row>
    <row r="876" ht="13.2" spans="1:1">
      <c r="A876" s="48"/>
    </row>
    <row r="877" ht="13.2" spans="1:1">
      <c r="A877" s="48"/>
    </row>
    <row r="878" ht="13.2" spans="1:1">
      <c r="A878" s="48"/>
    </row>
    <row r="879" ht="13.2" spans="1:1">
      <c r="A879" s="48"/>
    </row>
    <row r="880" ht="13.2" spans="1:1">
      <c r="A880" s="48"/>
    </row>
    <row r="881" ht="13.2" spans="1:1">
      <c r="A881" s="48"/>
    </row>
    <row r="882" ht="13.2" spans="1:1">
      <c r="A882" s="48"/>
    </row>
    <row r="883" ht="13.2" spans="1:1">
      <c r="A883" s="48"/>
    </row>
    <row r="884" ht="13.2" spans="1:1">
      <c r="A884" s="48"/>
    </row>
    <row r="885" ht="13.2" spans="1:1">
      <c r="A885" s="48"/>
    </row>
    <row r="886" ht="13.2" spans="1:1">
      <c r="A886" s="48"/>
    </row>
    <row r="887" ht="13.2" spans="1:1">
      <c r="A887" s="48"/>
    </row>
    <row r="888" ht="13.2" spans="1:1">
      <c r="A888" s="48"/>
    </row>
    <row r="889" ht="13.2" spans="1:1">
      <c r="A889" s="48"/>
    </row>
    <row r="890" ht="13.2" spans="1:1">
      <c r="A890" s="48"/>
    </row>
    <row r="891" ht="13.2" spans="1:1">
      <c r="A891" s="48"/>
    </row>
    <row r="892" ht="13.2" spans="1:1">
      <c r="A892" s="48"/>
    </row>
    <row r="893" ht="13.2" spans="1:1">
      <c r="A893" s="48"/>
    </row>
    <row r="894" ht="13.2" spans="1:1">
      <c r="A894" s="48"/>
    </row>
    <row r="895" ht="13.2" spans="1:1">
      <c r="A895" s="48"/>
    </row>
    <row r="896" ht="13.2" spans="1:1">
      <c r="A896" s="48"/>
    </row>
    <row r="897" ht="13.2" spans="1:1">
      <c r="A897" s="48"/>
    </row>
    <row r="898" ht="13.2" spans="1:1">
      <c r="A898" s="48"/>
    </row>
    <row r="899" ht="13.2" spans="1:1">
      <c r="A899" s="48"/>
    </row>
    <row r="900" ht="13.2" spans="1:1">
      <c r="A900" s="48"/>
    </row>
    <row r="901" ht="13.2" spans="1:1">
      <c r="A901" s="48"/>
    </row>
    <row r="902" ht="13.2" spans="1:1">
      <c r="A902" s="48"/>
    </row>
    <row r="903" ht="13.2" spans="1:1">
      <c r="A903" s="48"/>
    </row>
    <row r="904" ht="13.2" spans="1:1">
      <c r="A904" s="48"/>
    </row>
    <row r="905" ht="13.2" spans="1:1">
      <c r="A905" s="48"/>
    </row>
    <row r="906" ht="13.2" spans="1:1">
      <c r="A906" s="48"/>
    </row>
    <row r="907" ht="13.2" spans="1:1">
      <c r="A907" s="48"/>
    </row>
    <row r="908" ht="13.2" spans="1:1">
      <c r="A908" s="48"/>
    </row>
    <row r="909" ht="13.2" spans="1:1">
      <c r="A909" s="48"/>
    </row>
    <row r="910" ht="13.2" spans="1:1">
      <c r="A910" s="48"/>
    </row>
    <row r="911" ht="13.2" spans="1:1">
      <c r="A911" s="48"/>
    </row>
    <row r="912" ht="13.2" spans="1:1">
      <c r="A912" s="48"/>
    </row>
    <row r="913" ht="13.2" spans="1:1">
      <c r="A913" s="48"/>
    </row>
    <row r="914" ht="13.2" spans="1:1">
      <c r="A914" s="48"/>
    </row>
    <row r="915" ht="13.2" spans="1:1">
      <c r="A915" s="48"/>
    </row>
    <row r="916" ht="13.2" spans="1:1">
      <c r="A916" s="48"/>
    </row>
    <row r="917" ht="13.2" spans="1:1">
      <c r="A917" s="48"/>
    </row>
    <row r="918" ht="13.2" spans="1:1">
      <c r="A918" s="48"/>
    </row>
    <row r="919" ht="13.2" spans="1:1">
      <c r="A919" s="48"/>
    </row>
    <row r="920" ht="13.2" spans="1:1">
      <c r="A920" s="48"/>
    </row>
    <row r="921" ht="13.2" spans="1:1">
      <c r="A921" s="48"/>
    </row>
    <row r="922" ht="13.2" spans="1:1">
      <c r="A922" s="48"/>
    </row>
    <row r="923" ht="13.2" spans="1:1">
      <c r="A923" s="48"/>
    </row>
    <row r="924" ht="13.2" spans="1:1">
      <c r="A924" s="48"/>
    </row>
    <row r="925" ht="13.2" spans="1:1">
      <c r="A925" s="48"/>
    </row>
    <row r="926" ht="13.2" spans="1:1">
      <c r="A926" s="48"/>
    </row>
    <row r="927" ht="13.2" spans="1:1">
      <c r="A927" s="48"/>
    </row>
    <row r="928" ht="13.2" spans="1:1">
      <c r="A928" s="48"/>
    </row>
    <row r="929" ht="13.2" spans="1:1">
      <c r="A929" s="48"/>
    </row>
    <row r="930" ht="13.2" spans="1:1">
      <c r="A930" s="48"/>
    </row>
    <row r="931" ht="13.2" spans="1:1">
      <c r="A931" s="48"/>
    </row>
    <row r="932" ht="13.2" spans="1:1">
      <c r="A932" s="48"/>
    </row>
    <row r="933" ht="13.2" spans="1:1">
      <c r="A933" s="48"/>
    </row>
    <row r="934" ht="13.2" spans="1:1">
      <c r="A934" s="48"/>
    </row>
    <row r="935" ht="13.2" spans="1:1">
      <c r="A935" s="48"/>
    </row>
    <row r="936" ht="13.2" spans="1:1">
      <c r="A936" s="48"/>
    </row>
    <row r="937" ht="13.2" spans="1:1">
      <c r="A937" s="48"/>
    </row>
    <row r="938" ht="13.2" spans="1:1">
      <c r="A938" s="48"/>
    </row>
    <row r="939" ht="13.2" spans="1:1">
      <c r="A939" s="48"/>
    </row>
    <row r="940" ht="13.2" spans="1:1">
      <c r="A940" s="48"/>
    </row>
    <row r="941" ht="13.2" spans="1:1">
      <c r="A941" s="48"/>
    </row>
    <row r="942" ht="13.2" spans="1:1">
      <c r="A942" s="48"/>
    </row>
    <row r="943" ht="13.2" spans="1:1">
      <c r="A943" s="48"/>
    </row>
    <row r="944" ht="13.2" spans="1:1">
      <c r="A944" s="48"/>
    </row>
    <row r="945" ht="13.2" spans="1:1">
      <c r="A945" s="48"/>
    </row>
    <row r="946" ht="13.2" spans="1:1">
      <c r="A946" s="48"/>
    </row>
    <row r="947" ht="13.2" spans="1:1">
      <c r="A947" s="48"/>
    </row>
    <row r="948" ht="13.2" spans="1:1">
      <c r="A948" s="48"/>
    </row>
    <row r="949" ht="13.2" spans="1:1">
      <c r="A949" s="48"/>
    </row>
    <row r="950" ht="13.2" spans="1:1">
      <c r="A950" s="48"/>
    </row>
    <row r="951" ht="13.2" spans="1:1">
      <c r="A951" s="48"/>
    </row>
    <row r="952" ht="13.2" spans="1:1">
      <c r="A952" s="48"/>
    </row>
    <row r="953" ht="13.2" spans="1:1">
      <c r="A953" s="48"/>
    </row>
    <row r="954" ht="13.2" spans="1:1">
      <c r="A954" s="48"/>
    </row>
    <row r="955" ht="13.2" spans="1:1">
      <c r="A955" s="48"/>
    </row>
    <row r="956" ht="13.2" spans="1:1">
      <c r="A956" s="48"/>
    </row>
    <row r="957" ht="13.2" spans="1:1">
      <c r="A957" s="48"/>
    </row>
    <row r="958" ht="13.2" spans="1:1">
      <c r="A958" s="48"/>
    </row>
    <row r="959" ht="13.2" spans="1:1">
      <c r="A959" s="48"/>
    </row>
    <row r="960" ht="13.2" spans="1:1">
      <c r="A960" s="48"/>
    </row>
    <row r="961" ht="13.2" spans="1:1">
      <c r="A961" s="48"/>
    </row>
    <row r="962" ht="13.2" spans="1:1">
      <c r="A962" s="48"/>
    </row>
    <row r="963" ht="13.2" spans="1:1">
      <c r="A963" s="48"/>
    </row>
    <row r="964" ht="13.2" spans="1:1">
      <c r="A964" s="48"/>
    </row>
    <row r="965" ht="13.2" spans="1:1">
      <c r="A965" s="48"/>
    </row>
    <row r="966" ht="13.2" spans="1:1">
      <c r="A966" s="48"/>
    </row>
    <row r="967" ht="13.2" spans="1:1">
      <c r="A967" s="48"/>
    </row>
    <row r="968" ht="13.2" spans="1:1">
      <c r="A968" s="48"/>
    </row>
    <row r="969" ht="13.2" spans="1:1">
      <c r="A969" s="48"/>
    </row>
    <row r="970" ht="13.2" spans="1:1">
      <c r="A970" s="48"/>
    </row>
    <row r="971" ht="13.2" spans="1:1">
      <c r="A971" s="48"/>
    </row>
    <row r="972" ht="13.2" spans="1:1">
      <c r="A972" s="48"/>
    </row>
    <row r="973" ht="13.2" spans="1:1">
      <c r="A973" s="48"/>
    </row>
    <row r="974" ht="13.2" spans="1:1">
      <c r="A974" s="48"/>
    </row>
    <row r="975" ht="13.2" spans="1:1">
      <c r="A975" s="48"/>
    </row>
    <row r="976" ht="13.2" spans="1:1">
      <c r="A976" s="48"/>
    </row>
    <row r="977" ht="13.2" spans="1:1">
      <c r="A977" s="48"/>
    </row>
    <row r="978" ht="13.2" spans="1:1">
      <c r="A978" s="48"/>
    </row>
    <row r="979" ht="13.2" spans="1:1">
      <c r="A979" s="48"/>
    </row>
    <row r="980" ht="13.2" spans="1:1">
      <c r="A980" s="48"/>
    </row>
    <row r="981" ht="13.2" spans="1:1">
      <c r="A981" s="48"/>
    </row>
    <row r="982" ht="13.2" spans="1:1">
      <c r="A982" s="48"/>
    </row>
    <row r="983" ht="13.2" spans="1:1">
      <c r="A983" s="48"/>
    </row>
    <row r="984" ht="13.2" spans="1:1">
      <c r="A984" s="48"/>
    </row>
    <row r="985" ht="13.2" spans="1:1">
      <c r="A985" s="48"/>
    </row>
    <row r="986" ht="13.2" spans="1:1">
      <c r="A986" s="48"/>
    </row>
    <row r="987" ht="13.2" spans="1:1">
      <c r="A987" s="48"/>
    </row>
    <row r="988" ht="13.2" spans="1:1">
      <c r="A988" s="48"/>
    </row>
    <row r="989" ht="13.2" spans="1:1">
      <c r="A989" s="48"/>
    </row>
    <row r="990" ht="13.2" spans="1:1">
      <c r="A990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75"/>
  <sheetViews>
    <sheetView tabSelected="1" workbookViewId="0">
      <pane ySplit="6" topLeftCell="A37" activePane="bottomLeft" state="frozen"/>
      <selection/>
      <selection pane="bottomLeft" activeCell="B8" sqref="B8"/>
    </sheetView>
  </sheetViews>
  <sheetFormatPr defaultColWidth="12.6296296296296" defaultRowHeight="15.75" customHeight="1"/>
  <cols>
    <col min="1" max="1" width="12.6296296296296" hidden="1"/>
    <col min="2" max="2" width="5.87962962962963" customWidth="1"/>
    <col min="3" max="3" width="9.12962962962963" customWidth="1"/>
    <col min="4" max="4" width="13.8796296296296" customWidth="1"/>
    <col min="5" max="5" width="12.6296296296296" customWidth="1"/>
    <col min="6" max="6" width="12.1296296296296" customWidth="1"/>
    <col min="7" max="7" width="12.6296296296296" customWidth="1"/>
    <col min="8" max="8" width="16.3796296296296" customWidth="1"/>
    <col min="9" max="9" width="10.1296296296296" customWidth="1"/>
    <col min="10" max="19" width="12.6296296296296" customWidth="1"/>
    <col min="20" max="20" width="12.6296296296296" hidden="1" customWidth="1"/>
    <col min="21" max="21" width="8.87962962962963" customWidth="1"/>
    <col min="23" max="23" width="17.6296296296296" customWidth="1"/>
    <col min="24" max="24" width="11.3796296296296" customWidth="1"/>
    <col min="25" max="25" width="12.6296296296296" customWidth="1"/>
    <col min="26" max="26" width="11.3796296296296" customWidth="1"/>
  </cols>
  <sheetData>
    <row r="1" ht="13.95" spans="1:6">
      <c r="A1" s="1"/>
      <c r="B1" s="2" t="s">
        <v>9</v>
      </c>
      <c r="C1" s="3"/>
      <c r="D1" s="3"/>
      <c r="E1" s="3"/>
      <c r="F1" s="4"/>
    </row>
    <row r="2" ht="13.2" spans="1:6">
      <c r="A2" s="1"/>
      <c r="B2" s="5" t="s">
        <v>10</v>
      </c>
      <c r="F2" s="6"/>
    </row>
    <row r="3" ht="13.2" spans="1:6">
      <c r="A3" s="1"/>
      <c r="B3" s="7"/>
      <c r="F3" s="6"/>
    </row>
    <row r="4" ht="13.2" spans="1:6">
      <c r="A4" s="1"/>
      <c r="B4" s="7"/>
      <c r="F4" s="6"/>
    </row>
    <row r="5" ht="13.95" spans="1:6">
      <c r="A5" s="1"/>
      <c r="B5" s="8"/>
      <c r="C5" s="9"/>
      <c r="D5" s="9"/>
      <c r="E5" s="9"/>
      <c r="F5" s="10"/>
    </row>
    <row r="6" ht="14.7" spans="1:21">
      <c r="A6" s="1"/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9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9" t="s">
        <v>29</v>
      </c>
    </row>
    <row r="7" ht="15" customHeight="1" spans="1:26">
      <c r="A7" s="13">
        <v>1</v>
      </c>
      <c r="B7" s="14">
        <v>45658</v>
      </c>
      <c r="C7" s="15">
        <v>11111</v>
      </c>
      <c r="D7" s="15" t="s">
        <v>30</v>
      </c>
      <c r="E7" s="15" t="s">
        <v>31</v>
      </c>
      <c r="F7" s="15">
        <v>3473776393</v>
      </c>
      <c r="G7" s="15" t="s">
        <v>32</v>
      </c>
      <c r="H7" s="15" t="s">
        <v>33</v>
      </c>
      <c r="I7" s="15">
        <v>609</v>
      </c>
      <c r="J7" s="15" t="s">
        <v>34</v>
      </c>
      <c r="K7" s="15" t="s">
        <v>35</v>
      </c>
      <c r="L7" s="15" t="s">
        <v>36</v>
      </c>
      <c r="M7" s="15" t="s">
        <v>37</v>
      </c>
      <c r="N7" s="17">
        <v>21397</v>
      </c>
      <c r="O7" s="15"/>
      <c r="P7" s="15"/>
      <c r="Q7" s="15"/>
      <c r="R7" s="15"/>
      <c r="S7" s="15"/>
      <c r="T7" s="15"/>
      <c r="U7" s="20" t="str">
        <f>IFERROR(__xludf.DUMMYFUNCTION("IFERROR(IF(ISTEXT(G7),TIMEVALUE(IF(REGEXMATCH(SUBSTITUTE(SUBSTITUTE(SUBSTITUTE(REGEXEXTRACT(G7,""(\d{1,2}(?:[:\.h\s]\d{2})?)""),""."","":"" ),""h"","":"" ),"" "","":"" ),""^\d{1,2}$""),SUBSTITUTE(SUBSTITUTE(SUBSTITUTE(REGEXEXTRACT(G7,""(\d{1,2}(?:[:\.h\s]"&amp;"\d{2})?)""),""."","":"" ),""h"","":"" ),"" "","":"" ) &amp; "":00"",SUBSTITUTE(SUBSTITUTE(SUBSTITUTE(REGEXEXTRACT(G7,""(\d{1,2}(?:[:\.h\s]\d{2})?)""),""."","":"" ),""h"","":"" ),"" "","":"" ))),IF(ISNUMBER(G7),MOD(G7,1),"""" )),"""" )"),"")</f>
        <v/>
      </c>
      <c r="W7" s="21" t="s">
        <v>38</v>
      </c>
      <c r="X7" s="22"/>
      <c r="Y7" s="22"/>
      <c r="Z7" s="32"/>
    </row>
    <row r="8" ht="15" customHeight="1" spans="1:26">
      <c r="A8" s="13">
        <v>2</v>
      </c>
      <c r="B8" s="14">
        <v>45658</v>
      </c>
      <c r="C8" s="16">
        <v>22222</v>
      </c>
      <c r="D8" s="16" t="s">
        <v>39</v>
      </c>
      <c r="E8" s="16" t="s">
        <v>40</v>
      </c>
      <c r="F8" s="16">
        <v>3473699777</v>
      </c>
      <c r="G8" s="16" t="s">
        <v>41</v>
      </c>
      <c r="H8" s="16" t="s">
        <v>33</v>
      </c>
      <c r="I8" s="16" t="s">
        <v>42</v>
      </c>
      <c r="J8" s="16" t="s">
        <v>43</v>
      </c>
      <c r="K8" s="16" t="s">
        <v>44</v>
      </c>
      <c r="L8" s="16" t="s">
        <v>45</v>
      </c>
      <c r="M8" s="16" t="s">
        <v>46</v>
      </c>
      <c r="N8" s="18">
        <v>25769</v>
      </c>
      <c r="O8" s="16"/>
      <c r="P8" s="16" t="s">
        <v>47</v>
      </c>
      <c r="Q8" s="16" t="s">
        <v>48</v>
      </c>
      <c r="R8" s="16" t="s">
        <v>49</v>
      </c>
      <c r="S8" s="16" t="s">
        <v>48</v>
      </c>
      <c r="T8" s="16"/>
      <c r="U8" s="23" t="str">
        <f>IFERROR(__xludf.DUMMYFUNCTION("IFERROR(IF(ISTEXT(G8),TIMEVALUE(IF(REGEXMATCH(SUBSTITUTE(SUBSTITUTE(SUBSTITUTE(REGEXEXTRACT(G8,""(\d{1,2}(?:[:\.h\s]\d{2})?)""),""."","":"" ),""h"","":"" ),"" "","":"" ),""^\d{1,2}$""),SUBSTITUTE(SUBSTITUTE(SUBSTITUTE(REGEXEXTRACT(G8,""(\d{1,2}(?:[:\.h\s]"&amp;"\d{2})?)""),""."","":"" ),""h"","":"" ),"" "","":"" ) &amp; "":00"",SUBSTITUTE(SUBSTITUTE(SUBSTITUTE(REGEXEXTRACT(G8,""(\d{1,2}(?:[:\.h\s]\d{2})?)""),""."","":"" ),""h"","":"" ),"" "","":"" ))),IF(ISNUMBER(G8),MOD(G8,1),"""" )),"""" )"),"")</f>
        <v/>
      </c>
      <c r="W8" s="24" t="s">
        <v>50</v>
      </c>
      <c r="X8" s="25" t="s">
        <v>51</v>
      </c>
      <c r="Y8" s="25" t="s">
        <v>52</v>
      </c>
      <c r="Z8" s="33" t="s">
        <v>53</v>
      </c>
    </row>
    <row r="9" ht="15" customHeight="1" spans="1:26">
      <c r="A9" s="13">
        <v>3</v>
      </c>
      <c r="B9" s="14">
        <v>45658</v>
      </c>
      <c r="C9" s="15">
        <v>39181</v>
      </c>
      <c r="D9" s="15" t="s">
        <v>54</v>
      </c>
      <c r="E9" s="15" t="s">
        <v>55</v>
      </c>
      <c r="F9" s="15">
        <v>3357505498</v>
      </c>
      <c r="G9" s="15"/>
      <c r="H9" s="15" t="s">
        <v>56</v>
      </c>
      <c r="I9" s="15" t="s">
        <v>42</v>
      </c>
      <c r="J9" s="15" t="s">
        <v>57</v>
      </c>
      <c r="K9" s="15" t="s">
        <v>58</v>
      </c>
      <c r="L9" s="15" t="s">
        <v>45</v>
      </c>
      <c r="M9" s="15" t="s">
        <v>46</v>
      </c>
      <c r="N9" s="17">
        <v>23660</v>
      </c>
      <c r="O9" s="15"/>
      <c r="P9" s="15"/>
      <c r="Q9" s="15"/>
      <c r="R9" s="15"/>
      <c r="S9" s="15"/>
      <c r="T9" s="15"/>
      <c r="U9" s="20" t="str">
        <f>IFERROR(__xludf.DUMMYFUNCTION("IFERROR(IF(ISTEXT(G9),TIMEVALUE(IF(REGEXMATCH(SUBSTITUTE(SUBSTITUTE(SUBSTITUTE(REGEXEXTRACT(G9,""(\d{1,2}(?:[:\.h\s]\d{2})?)""),""."","":"" ),""h"","":"" ),"" "","":"" ),""^\d{1,2}$""),SUBSTITUTE(SUBSTITUTE(SUBSTITUTE(REGEXEXTRACT(G9,""(\d{1,2}(?:[:\.h\s]"&amp;"\d{2})?)""),""."","":"" ),""h"","":"" ),"" "","":"" ) &amp; "":00"",SUBSTITUTE(SUBSTITUTE(SUBSTITUTE(REGEXEXTRACT(G9,""(\d{1,2}(?:[:\.h\s]\d{2})?)""),""."","":"" ),""h"","":"" ),"" "","":"" ))),IF(ISNUMBER(G9),MOD(G9,1),"""" )),"""" )"),"")</f>
        <v/>
      </c>
      <c r="W9" s="26" t="s">
        <v>33</v>
      </c>
      <c r="X9" s="27">
        <v>2</v>
      </c>
      <c r="Y9" s="34">
        <v>2</v>
      </c>
      <c r="Z9" s="35">
        <v>0</v>
      </c>
    </row>
    <row r="10" ht="15" customHeight="1" spans="1:26">
      <c r="A10" s="13">
        <v>4</v>
      </c>
      <c r="B10" s="14">
        <v>45658</v>
      </c>
      <c r="C10" s="16">
        <v>39373</v>
      </c>
      <c r="D10" s="16" t="s">
        <v>59</v>
      </c>
      <c r="E10" s="16" t="s">
        <v>60</v>
      </c>
      <c r="F10" s="16">
        <v>335417084</v>
      </c>
      <c r="G10" s="16" t="s">
        <v>61</v>
      </c>
      <c r="H10" s="16" t="s">
        <v>56</v>
      </c>
      <c r="I10" s="16" t="s">
        <v>42</v>
      </c>
      <c r="J10" s="16" t="s">
        <v>62</v>
      </c>
      <c r="K10" s="16" t="s">
        <v>63</v>
      </c>
      <c r="L10" s="16" t="s">
        <v>45</v>
      </c>
      <c r="M10" s="16" t="s">
        <v>46</v>
      </c>
      <c r="N10" s="18">
        <v>22129</v>
      </c>
      <c r="O10" s="16"/>
      <c r="P10" s="16" t="s">
        <v>64</v>
      </c>
      <c r="Q10" s="16"/>
      <c r="R10" s="16" t="s">
        <v>65</v>
      </c>
      <c r="S10" s="16"/>
      <c r="T10" s="16"/>
      <c r="U10" s="23" t="str">
        <f>IFERROR(__xludf.DUMMYFUNCTION("IFERROR(IF(ISTEXT(G10),TIMEVALUE(IF(REGEXMATCH(SUBSTITUTE(SUBSTITUTE(SUBSTITUTE(REGEXEXTRACT(G10,""(\d{1,2}(?:[:\.h\s]\d{2})?)""),""."","":"" ),""h"","":"" ),"" "","":"" ),""^\d{1,2}$""),SUBSTITUTE(SUBSTITUTE(SUBSTITUTE(REGEXEXTRACT(G10,""(\d{1,2}(?:[:\.h"&amp;"\s]\d{2})?)""),""."","":"" ),""h"","":"" ),"" "","":"" ) &amp; "":00"",SUBSTITUTE(SUBSTITUTE(SUBSTITUTE(REGEXEXTRACT(G10,""(\d{1,2}(?:[:\.h\s]\d{2})?)""),""."","":"" ),""h"","":"" ),"" "","":"" ))),IF(ISNUMBER(G10),MOD(G10,1),"""" )),"""" )"),"")</f>
        <v/>
      </c>
      <c r="W10" s="26" t="s">
        <v>56</v>
      </c>
      <c r="X10" s="27">
        <v>3</v>
      </c>
      <c r="Y10" s="34">
        <v>4</v>
      </c>
      <c r="Z10" s="36">
        <v>1</v>
      </c>
    </row>
    <row r="11" ht="15" customHeight="1" spans="1:26">
      <c r="A11" s="13">
        <v>5</v>
      </c>
      <c r="B11" s="14">
        <v>45689</v>
      </c>
      <c r="C11" s="15">
        <v>66666</v>
      </c>
      <c r="D11" s="15" t="s">
        <v>66</v>
      </c>
      <c r="E11" s="15" t="s">
        <v>67</v>
      </c>
      <c r="F11" s="15">
        <v>3280591093</v>
      </c>
      <c r="G11" s="15" t="s">
        <v>68</v>
      </c>
      <c r="H11" s="15" t="s">
        <v>56</v>
      </c>
      <c r="I11" s="15" t="s">
        <v>42</v>
      </c>
      <c r="J11" s="15" t="s">
        <v>69</v>
      </c>
      <c r="K11" s="15" t="s">
        <v>70</v>
      </c>
      <c r="L11" s="15" t="s">
        <v>45</v>
      </c>
      <c r="M11" s="15" t="s">
        <v>46</v>
      </c>
      <c r="N11" s="17">
        <v>20063</v>
      </c>
      <c r="O11" s="15"/>
      <c r="P11" s="15"/>
      <c r="Q11" s="15"/>
      <c r="R11" s="15"/>
      <c r="S11" s="15"/>
      <c r="T11" s="15"/>
      <c r="U11" s="20" t="str">
        <f>IFERROR(__xludf.DUMMYFUNCTION("IFERROR(IF(ISTEXT(G11),TIMEVALUE(IF(REGEXMATCH(SUBSTITUTE(SUBSTITUTE(SUBSTITUTE(REGEXEXTRACT(G11,""(\d{1,2}(?:[:\.h\s]\d{2})?)""),""."","":"" ),""h"","":"" ),"" "","":"" ),""^\d{1,2}$""),SUBSTITUTE(SUBSTITUTE(SUBSTITUTE(REGEXEXTRACT(G11,""(\d{1,2}(?:[:\.h"&amp;"\s]\d{2})?)""),""."","":"" ),""h"","":"" ),"" "","":"" ) &amp; "":00"",SUBSTITUTE(SUBSTITUTE(SUBSTITUTE(REGEXEXTRACT(G11,""(\d{1,2}(?:[:\.h\s]\d{2})?)""),""."","":"" ),""h"","":"" ),"" "","":"" ))),IF(ISNUMBER(G11),MOD(G11,1),"""" )),"""" )"),"")</f>
        <v/>
      </c>
      <c r="W11" s="26" t="s">
        <v>71</v>
      </c>
      <c r="X11" s="27">
        <v>17</v>
      </c>
      <c r="Y11" s="34">
        <v>17</v>
      </c>
      <c r="Z11" s="35">
        <v>0</v>
      </c>
    </row>
    <row r="12" ht="15" customHeight="1" spans="1:26">
      <c r="A12" s="13">
        <v>5</v>
      </c>
      <c r="B12" s="14">
        <v>45690</v>
      </c>
      <c r="C12" s="15">
        <v>66666</v>
      </c>
      <c r="D12" s="15" t="s">
        <v>72</v>
      </c>
      <c r="E12" s="15" t="s">
        <v>73</v>
      </c>
      <c r="F12" s="15">
        <v>3897915643</v>
      </c>
      <c r="G12" s="15" t="s">
        <v>74</v>
      </c>
      <c r="H12" s="15"/>
      <c r="I12" s="15" t="s">
        <v>42</v>
      </c>
      <c r="J12" s="15"/>
      <c r="K12" s="15" t="s">
        <v>75</v>
      </c>
      <c r="L12" s="15" t="s">
        <v>76</v>
      </c>
      <c r="M12" s="15" t="s">
        <v>77</v>
      </c>
      <c r="N12" s="17">
        <v>25581</v>
      </c>
      <c r="O12" s="15"/>
      <c r="P12" s="15"/>
      <c r="Q12" s="15"/>
      <c r="R12" s="15"/>
      <c r="S12" s="15"/>
      <c r="T12" s="15"/>
      <c r="U12" s="20" t="str">
        <f>IFERROR(__xludf.DUMMYFUNCTION("IFERROR(IF(ISTEXT(G12),TIMEVALUE(IF(REGEXMATCH(SUBSTITUTE(SUBSTITUTE(SUBSTITUTE(REGEXEXTRACT(G12,""(\d{1,2}(?:[:\.h\s]\d{2})?)""),""."","":"" ),""h"","":"" ),"" "","":"" ),""^\d{1,2}$""),SUBSTITUTE(SUBSTITUTE(SUBSTITUTE(REGEXEXTRACT(G12,""(\d{1,2}(?:[:\.h"&amp;"\s]\d{2})?)""),""."","":"" ),""h"","":"" ),"" "","":"" ) &amp; "":00"",SUBSTITUTE(SUBSTITUTE(SUBSTITUTE(REGEXEXTRACT(G12,""(\d{1,2}(?:[:\.h\s]\d{2})?)""),""."","":"" ),""h"","":"" ),"" "","":"" ))),IF(ISNUMBER(G12),MOD(G12,1),"""" )),"""" )"),"")</f>
        <v/>
      </c>
      <c r="W12" s="26" t="s">
        <v>78</v>
      </c>
      <c r="X12" s="27">
        <v>8</v>
      </c>
      <c r="Y12" s="34">
        <v>8</v>
      </c>
      <c r="Z12" s="35">
        <v>0</v>
      </c>
    </row>
    <row r="13" ht="15" customHeight="1" spans="1:26">
      <c r="A13" s="13">
        <v>6</v>
      </c>
      <c r="B13" s="14">
        <v>45689</v>
      </c>
      <c r="C13" s="16">
        <v>11199</v>
      </c>
      <c r="D13" s="16" t="s">
        <v>79</v>
      </c>
      <c r="E13" s="16" t="s">
        <v>80</v>
      </c>
      <c r="F13" s="16">
        <v>3463564618</v>
      </c>
      <c r="G13" s="16"/>
      <c r="H13" s="16" t="s">
        <v>71</v>
      </c>
      <c r="I13" s="16">
        <v>609</v>
      </c>
      <c r="J13" s="16"/>
      <c r="K13" s="16" t="s">
        <v>81</v>
      </c>
      <c r="L13" s="16" t="s">
        <v>82</v>
      </c>
      <c r="M13" s="16" t="s">
        <v>83</v>
      </c>
      <c r="N13" s="18">
        <v>26756</v>
      </c>
      <c r="O13" s="16"/>
      <c r="P13" s="16"/>
      <c r="Q13" s="16"/>
      <c r="R13" s="16"/>
      <c r="S13" s="16"/>
      <c r="T13" s="16"/>
      <c r="U13" s="23" t="str">
        <f>IFERROR(__xludf.DUMMYFUNCTION("IFERROR(IF(ISTEXT(G13),TIMEVALUE(IF(REGEXMATCH(SUBSTITUTE(SUBSTITUTE(SUBSTITUTE(REGEXEXTRACT(G13,""(\d{1,2}(?:[:\.h\s]\d{2})?)""),""."","":"" ),""h"","":"" ),"" "","":"" ),""^\d{1,2}$""),SUBSTITUTE(SUBSTITUTE(SUBSTITUTE(REGEXEXTRACT(G13,""(\d{1,2}(?:[:\.h"&amp;"\s]\d{2})?)""),""."","":"" ),""h"","":"" ),"" "","":"" ) &amp; "":00"",SUBSTITUTE(SUBSTITUTE(SUBSTITUTE(REGEXEXTRACT(G13,""(\d{1,2}(?:[:\.h\s]\d{2})?)""),""."","":"" ),""h"","":"" ),"" "","":"" ))),IF(ISNUMBER(G13),MOD(G13,1),"""" )),"""" )"),"")</f>
        <v/>
      </c>
      <c r="W13" s="28" t="s">
        <v>84</v>
      </c>
      <c r="X13" s="29">
        <v>1</v>
      </c>
      <c r="Y13" s="37">
        <v>1</v>
      </c>
      <c r="Z13" s="38">
        <v>0</v>
      </c>
    </row>
    <row r="14" ht="15" customHeight="1" spans="1:26">
      <c r="A14" s="13">
        <v>6</v>
      </c>
      <c r="B14" s="14">
        <v>45690</v>
      </c>
      <c r="C14" s="16">
        <v>11199</v>
      </c>
      <c r="D14" s="16" t="s">
        <v>85</v>
      </c>
      <c r="E14" s="16" t="s">
        <v>86</v>
      </c>
      <c r="F14" s="16">
        <v>3384922795</v>
      </c>
      <c r="G14" s="16"/>
      <c r="H14" s="16"/>
      <c r="I14" s="16" t="s">
        <v>42</v>
      </c>
      <c r="J14" s="16" t="s">
        <v>87</v>
      </c>
      <c r="K14" s="16" t="s">
        <v>88</v>
      </c>
      <c r="L14" s="16" t="s">
        <v>89</v>
      </c>
      <c r="M14" s="16" t="s">
        <v>46</v>
      </c>
      <c r="N14" s="18">
        <v>25081</v>
      </c>
      <c r="O14" s="16"/>
      <c r="P14" s="16"/>
      <c r="Q14" s="16"/>
      <c r="R14" s="16" t="s">
        <v>90</v>
      </c>
      <c r="S14" s="16"/>
      <c r="T14" s="16"/>
      <c r="U14" s="23" t="str">
        <f>IFERROR(__xludf.DUMMYFUNCTION("IFERROR(IF(ISTEXT(G14),TIMEVALUE(IF(REGEXMATCH(SUBSTITUTE(SUBSTITUTE(SUBSTITUTE(REGEXEXTRACT(G14,""(\d{1,2}(?:[:\.h\s]\d{2})?)""),""."","":"" ),""h"","":"" ),"" "","":"" ),""^\d{1,2}$""),SUBSTITUTE(SUBSTITUTE(SUBSTITUTE(REGEXEXTRACT(G14,""(\d{1,2}(?:[:\.h"&amp;"\s]\d{2})?)""),""."","":"" ),""h"","":"" ),"" "","":"" ) &amp; "":00"",SUBSTITUTE(SUBSTITUTE(SUBSTITUTE(REGEXEXTRACT(G14,""(\d{1,2}(?:[:\.h\s]\d{2})?)""),""."","":"" ),""h"","":"" ),"" "","":"" ))),IF(ISNUMBER(G14),MOD(G14,1),"""" )),"""" )"),"")</f>
        <v/>
      </c>
      <c r="W14" s="30"/>
      <c r="X14" s="31"/>
      <c r="Y14" s="31"/>
      <c r="Z14" s="31"/>
    </row>
    <row r="15" ht="15" customHeight="1" spans="1:26">
      <c r="A15" s="13">
        <v>7</v>
      </c>
      <c r="B15" s="14">
        <v>45689</v>
      </c>
      <c r="C15" s="15">
        <v>11999</v>
      </c>
      <c r="D15" s="15" t="s">
        <v>91</v>
      </c>
      <c r="E15" s="15" t="s">
        <v>92</v>
      </c>
      <c r="F15" s="15">
        <v>3938516334</v>
      </c>
      <c r="G15" s="15" t="s">
        <v>93</v>
      </c>
      <c r="H15" s="15" t="s">
        <v>71</v>
      </c>
      <c r="I15" s="15">
        <v>609</v>
      </c>
      <c r="J15" s="15" t="s">
        <v>34</v>
      </c>
      <c r="K15" s="15" t="s">
        <v>94</v>
      </c>
      <c r="L15" s="15" t="s">
        <v>95</v>
      </c>
      <c r="M15" s="15" t="s">
        <v>96</v>
      </c>
      <c r="N15" s="17">
        <v>31456</v>
      </c>
      <c r="O15" s="15"/>
      <c r="P15" s="15"/>
      <c r="Q15" s="15"/>
      <c r="R15" s="15"/>
      <c r="S15" s="15"/>
      <c r="T15" s="15"/>
      <c r="U15" s="20" t="str">
        <f>IFERROR(__xludf.DUMMYFUNCTION("IFERROR(IF(ISTEXT(G15),TIMEVALUE(IF(REGEXMATCH(SUBSTITUTE(SUBSTITUTE(SUBSTITUTE(REGEXEXTRACT(G15,""(\d{1,2}(?:[:\.h\s]\d{2})?)""),""."","":"" ),""h"","":"" ),"" "","":"" ),""^\d{1,2}$""),SUBSTITUTE(SUBSTITUTE(SUBSTITUTE(REGEXEXTRACT(G15,""(\d{1,2}(?:[:\.h"&amp;"\s]\d{2})?)""),""."","":"" ),""h"","":"" ),"" "","":"" ) &amp; "":00"",SUBSTITUTE(SUBSTITUTE(SUBSTITUTE(REGEXEXTRACT(G15,""(\d{1,2}(?:[:\.h\s]\d{2})?)""),""."","":"" ),""h"","":"" ),"" "","":"" ))),IF(ISNUMBER(G15),MOD(G15,1),"""" )),"""" )"),"")</f>
        <v/>
      </c>
      <c r="W15" s="30"/>
      <c r="X15" s="31"/>
      <c r="Y15" s="31"/>
      <c r="Z15" s="31"/>
    </row>
    <row r="16" ht="15" customHeight="1" spans="1:26">
      <c r="A16" s="13">
        <v>7</v>
      </c>
      <c r="B16" s="14">
        <v>45690</v>
      </c>
      <c r="C16" s="15">
        <v>11999</v>
      </c>
      <c r="D16" s="15" t="s">
        <v>97</v>
      </c>
      <c r="E16" s="15" t="s">
        <v>98</v>
      </c>
      <c r="F16" s="15">
        <v>3298253863</v>
      </c>
      <c r="G16" s="15" t="s">
        <v>99</v>
      </c>
      <c r="H16" s="15"/>
      <c r="I16" s="15">
        <v>609</v>
      </c>
      <c r="J16" s="15"/>
      <c r="K16" s="15" t="s">
        <v>100</v>
      </c>
      <c r="L16" s="15" t="s">
        <v>101</v>
      </c>
      <c r="M16" s="15" t="s">
        <v>96</v>
      </c>
      <c r="N16" s="17">
        <v>31446</v>
      </c>
      <c r="O16" s="15"/>
      <c r="P16" s="15"/>
      <c r="Q16" s="15"/>
      <c r="R16" s="15" t="s">
        <v>102</v>
      </c>
      <c r="S16" s="15"/>
      <c r="T16" s="15"/>
      <c r="U16" s="20" t="str">
        <f>IFERROR(__xludf.DUMMYFUNCTION("IFERROR(IF(ISTEXT(G16),TIMEVALUE(IF(REGEXMATCH(SUBSTITUTE(SUBSTITUTE(SUBSTITUTE(REGEXEXTRACT(G16,""(\d{1,2}(?:[:\.h\s]\d{2})?)""),""."","":"" ),""h"","":"" ),"" "","":"" ),""^\d{1,2}$""),SUBSTITUTE(SUBSTITUTE(SUBSTITUTE(REGEXEXTRACT(G16,""(\d{1,2}(?:[:\.h"&amp;"\s]\d{2})?)""),""."","":"" ),""h"","":"" ),"" "","":"" ) &amp; "":00"",SUBSTITUTE(SUBSTITUTE(SUBSTITUTE(REGEXEXTRACT(G16,""(\d{1,2}(?:[:\.h\s]\d{2})?)""),""."","":"" ),""h"","":"" ),"" "","":"" ))),IF(ISNUMBER(G16),MOD(G16,1),"""" )),"""" )"),"")</f>
        <v/>
      </c>
      <c r="W16" s="30"/>
      <c r="X16" s="31"/>
      <c r="Y16" s="31"/>
      <c r="Z16" s="31"/>
    </row>
    <row r="17" ht="15" customHeight="1" spans="1:26">
      <c r="A17" s="13">
        <v>8</v>
      </c>
      <c r="B17" s="14">
        <v>45689</v>
      </c>
      <c r="C17" s="16">
        <v>12121</v>
      </c>
      <c r="D17" s="16" t="s">
        <v>103</v>
      </c>
      <c r="E17" s="16" t="s">
        <v>104</v>
      </c>
      <c r="F17" s="16"/>
      <c r="G17" s="16"/>
      <c r="H17" s="16" t="s">
        <v>71</v>
      </c>
      <c r="I17" s="16">
        <v>609</v>
      </c>
      <c r="J17" s="16" t="s">
        <v>105</v>
      </c>
      <c r="K17" s="16" t="s">
        <v>106</v>
      </c>
      <c r="L17" s="16" t="s">
        <v>45</v>
      </c>
      <c r="M17" s="16" t="s">
        <v>46</v>
      </c>
      <c r="N17" s="18">
        <v>40964</v>
      </c>
      <c r="O17" s="16"/>
      <c r="P17" s="16"/>
      <c r="Q17" s="16"/>
      <c r="R17" s="16"/>
      <c r="S17" s="16"/>
      <c r="T17" s="16"/>
      <c r="U17" s="23" t="str">
        <f>IFERROR(__xludf.DUMMYFUNCTION("IFERROR(IF(ISTEXT(G17),TIMEVALUE(IF(REGEXMATCH(SUBSTITUTE(SUBSTITUTE(SUBSTITUTE(REGEXEXTRACT(G17,""(\d{1,2}(?:[:\.h\s]\d{2})?)""),""."","":"" ),""h"","":"" ),"" "","":"" ),""^\d{1,2}$""),SUBSTITUTE(SUBSTITUTE(SUBSTITUTE(REGEXEXTRACT(G17,""(\d{1,2}(?:[:\.h"&amp;"\s]\d{2})?)""),""."","":"" ),""h"","":"" ),"" "","":"" ) &amp; "":00"",SUBSTITUTE(SUBSTITUTE(SUBSTITUTE(REGEXEXTRACT(G17,""(\d{1,2}(?:[:\.h\s]\d{2})?)""),""."","":"" ),""h"","":"" ),"" "","":"" ))),IF(ISNUMBER(G17),MOD(G17,1),"""" )),"""" )"),"")</f>
        <v/>
      </c>
      <c r="W17" s="30"/>
      <c r="X17" s="31"/>
      <c r="Y17" s="31"/>
      <c r="Z17" s="31"/>
    </row>
    <row r="18" ht="15" customHeight="1" spans="1:26">
      <c r="A18" s="13">
        <v>8</v>
      </c>
      <c r="B18" s="14">
        <v>45690</v>
      </c>
      <c r="C18" s="16">
        <v>12121</v>
      </c>
      <c r="D18" s="16" t="s">
        <v>103</v>
      </c>
      <c r="E18" s="16" t="s">
        <v>107</v>
      </c>
      <c r="F18" s="16"/>
      <c r="G18" s="16"/>
      <c r="H18" s="16"/>
      <c r="I18" s="16">
        <v>609</v>
      </c>
      <c r="J18" s="16"/>
      <c r="K18" s="16" t="s">
        <v>108</v>
      </c>
      <c r="L18" s="16" t="s">
        <v>109</v>
      </c>
      <c r="M18" s="16" t="s">
        <v>96</v>
      </c>
      <c r="N18" s="18">
        <v>40948</v>
      </c>
      <c r="O18" s="16"/>
      <c r="P18" s="16"/>
      <c r="Q18" s="16"/>
      <c r="R18" s="16"/>
      <c r="S18" s="16"/>
      <c r="T18" s="16"/>
      <c r="U18" s="23" t="str">
        <f>IFERROR(__xludf.DUMMYFUNCTION("IFERROR(IF(ISTEXT(G18),TIMEVALUE(IF(REGEXMATCH(SUBSTITUTE(SUBSTITUTE(SUBSTITUTE(REGEXEXTRACT(G18,""(\d{1,2}(?:[:\.h\s]\d{2})?)""),""."","":"" ),""h"","":"" ),"" "","":"" ),""^\d{1,2}$""),SUBSTITUTE(SUBSTITUTE(SUBSTITUTE(REGEXEXTRACT(G18,""(\d{1,2}(?:[:\.h"&amp;"\s]\d{2})?)""),""."","":"" ),""h"","":"" ),"" "","":"" ) &amp; "":00"",SUBSTITUTE(SUBSTITUTE(SUBSTITUTE(REGEXEXTRACT(G18,""(\d{1,2}(?:[:\.h\s]\d{2})?)""),""."","":"" ),""h"","":"" ),"" "","":"" ))),IF(ISNUMBER(G18),MOD(G18,1),"""" )),"""" )"),"")</f>
        <v/>
      </c>
      <c r="W18" s="30"/>
      <c r="X18" s="31"/>
      <c r="Y18" s="31"/>
      <c r="Z18" s="31"/>
    </row>
    <row r="19" ht="15" customHeight="1" spans="1:26">
      <c r="A19" s="13">
        <v>9</v>
      </c>
      <c r="B19" s="14">
        <v>45689</v>
      </c>
      <c r="C19" s="15">
        <v>38640</v>
      </c>
      <c r="D19" s="15" t="s">
        <v>110</v>
      </c>
      <c r="E19" s="15" t="s">
        <v>111</v>
      </c>
      <c r="F19" s="15">
        <v>3283319792</v>
      </c>
      <c r="G19" s="15" t="s">
        <v>112</v>
      </c>
      <c r="H19" s="15" t="s">
        <v>71</v>
      </c>
      <c r="I19" s="15" t="s">
        <v>42</v>
      </c>
      <c r="J19" s="15"/>
      <c r="K19" s="15" t="s">
        <v>113</v>
      </c>
      <c r="L19" s="15" t="s">
        <v>114</v>
      </c>
      <c r="M19" s="15" t="s">
        <v>115</v>
      </c>
      <c r="N19" s="17">
        <v>26313</v>
      </c>
      <c r="O19" s="15"/>
      <c r="P19" s="15"/>
      <c r="Q19" s="15"/>
      <c r="R19" s="15"/>
      <c r="S19" s="15"/>
      <c r="T19" s="15"/>
      <c r="U19" s="20" t="str">
        <f>IFERROR(__xludf.DUMMYFUNCTION("IFERROR(IF(ISTEXT(G19),TIMEVALUE(IF(REGEXMATCH(SUBSTITUTE(SUBSTITUTE(SUBSTITUTE(REGEXEXTRACT(G19,""(\d{1,2}(?:[:\.h\s]\d{2})?)""),""."","":"" ),""h"","":"" ),"" "","":"" ),""^\d{1,2}$""),SUBSTITUTE(SUBSTITUTE(SUBSTITUTE(REGEXEXTRACT(G19,""(\d{1,2}(?:[:\.h"&amp;"\s]\d{2})?)""),""."","":"" ),""h"","":"" ),"" "","":"" ) &amp; "":00"",SUBSTITUTE(SUBSTITUTE(SUBSTITUTE(REGEXEXTRACT(G19,""(\d{1,2}(?:[:\.h\s]\d{2})?)""),""."","":"" ),""h"","":"" ),"" "","":"" ))),IF(ISNUMBER(G19),MOD(G19,1),"""" )),"""" )"),"")</f>
        <v/>
      </c>
      <c r="W19" s="30"/>
      <c r="X19" s="31"/>
      <c r="Y19" s="31"/>
      <c r="Z19" s="31"/>
    </row>
    <row r="20" ht="15" customHeight="1" spans="1:26">
      <c r="A20" s="13">
        <v>9</v>
      </c>
      <c r="B20" s="14">
        <v>45690</v>
      </c>
      <c r="C20" s="15">
        <v>38640</v>
      </c>
      <c r="D20" s="15" t="s">
        <v>110</v>
      </c>
      <c r="E20" s="15" t="s">
        <v>86</v>
      </c>
      <c r="F20" s="15">
        <v>3914551900</v>
      </c>
      <c r="G20" s="15" t="s">
        <v>112</v>
      </c>
      <c r="H20" s="15"/>
      <c r="I20" s="15" t="s">
        <v>42</v>
      </c>
      <c r="J20" s="15"/>
      <c r="K20" s="15" t="s">
        <v>116</v>
      </c>
      <c r="L20" s="15" t="s">
        <v>117</v>
      </c>
      <c r="M20" s="15" t="s">
        <v>115</v>
      </c>
      <c r="N20" s="17">
        <v>38082</v>
      </c>
      <c r="O20" s="15"/>
      <c r="P20" s="15"/>
      <c r="Q20" s="15"/>
      <c r="R20" s="15"/>
      <c r="S20" s="15"/>
      <c r="T20" s="15"/>
      <c r="U20" s="20" t="str">
        <f>IFERROR(__xludf.DUMMYFUNCTION("IFERROR(IF(ISTEXT(G20),TIMEVALUE(IF(REGEXMATCH(SUBSTITUTE(SUBSTITUTE(SUBSTITUTE(REGEXEXTRACT(G20,""(\d{1,2}(?:[:\.h\s]\d{2})?)""),""."","":"" ),""h"","":"" ),"" "","":"" ),""^\d{1,2}$""),SUBSTITUTE(SUBSTITUTE(SUBSTITUTE(REGEXEXTRACT(G20,""(\d{1,2}(?:[:\.h"&amp;"\s]\d{2})?)""),""."","":"" ),""h"","":"" ),"" "","":"" ) &amp; "":00"",SUBSTITUTE(SUBSTITUTE(SUBSTITUTE(REGEXEXTRACT(G20,""(\d{1,2}(?:[:\.h\s]\d{2})?)""),""."","":"" ),""h"","":"" ),"" "","":"" ))),IF(ISNUMBER(G20),MOD(G20,1),"""" )),"""" )"),"")</f>
        <v/>
      </c>
      <c r="W20" s="30"/>
      <c r="X20" s="31"/>
      <c r="Y20" s="31"/>
      <c r="Z20" s="31"/>
    </row>
    <row r="21" ht="15" customHeight="1" spans="1:26">
      <c r="A21" s="13">
        <v>10</v>
      </c>
      <c r="B21" s="14">
        <v>45689</v>
      </c>
      <c r="C21" s="16">
        <v>38643</v>
      </c>
      <c r="D21" s="16" t="s">
        <v>118</v>
      </c>
      <c r="E21" s="16" t="s">
        <v>119</v>
      </c>
      <c r="F21" s="16">
        <v>3473817521</v>
      </c>
      <c r="G21" s="16" t="s">
        <v>120</v>
      </c>
      <c r="H21" s="16" t="s">
        <v>71</v>
      </c>
      <c r="I21" s="16" t="s">
        <v>42</v>
      </c>
      <c r="J21" s="16" t="s">
        <v>121</v>
      </c>
      <c r="K21" s="16" t="s">
        <v>122</v>
      </c>
      <c r="L21" s="16" t="s">
        <v>123</v>
      </c>
      <c r="M21" s="16" t="s">
        <v>115</v>
      </c>
      <c r="N21" s="18">
        <v>23734</v>
      </c>
      <c r="O21" s="16" t="s">
        <v>124</v>
      </c>
      <c r="P21" s="16" t="s">
        <v>125</v>
      </c>
      <c r="Q21" s="16"/>
      <c r="R21" s="16" t="s">
        <v>126</v>
      </c>
      <c r="S21" s="16"/>
      <c r="T21" s="16"/>
      <c r="U21" s="23" t="str">
        <f>IFERROR(__xludf.DUMMYFUNCTION("IFERROR(IF(ISTEXT(G21),TIMEVALUE(IF(REGEXMATCH(SUBSTITUTE(SUBSTITUTE(SUBSTITUTE(REGEXEXTRACT(G21,""(\d{1,2}(?:[:\.h\s]\d{2})?)""),""."","":"" ),""h"","":"" ),"" "","":"" ),""^\d{1,2}$""),SUBSTITUTE(SUBSTITUTE(SUBSTITUTE(REGEXEXTRACT(G21,""(\d{1,2}(?:[:\.h"&amp;"\s]\d{2})?)""),""."","":"" ),""h"","":"" ),"" "","":"" ) &amp; "":00"",SUBSTITUTE(SUBSTITUTE(SUBSTITUTE(REGEXEXTRACT(G21,""(\d{1,2}(?:[:\.h\s]\d{2})?)""),""."","":"" ),""h"","":"" ),"" "","":"" ))),IF(ISNUMBER(G21),MOD(G21,1),"""" )),"""" )"),"")</f>
        <v/>
      </c>
      <c r="W21" s="30"/>
      <c r="X21" s="31"/>
      <c r="Y21" s="31"/>
      <c r="Z21" s="31"/>
    </row>
    <row r="22" ht="15" customHeight="1" spans="1:21">
      <c r="A22" s="13">
        <v>10</v>
      </c>
      <c r="B22" s="14">
        <v>45690</v>
      </c>
      <c r="C22" s="16">
        <v>38643</v>
      </c>
      <c r="D22" s="16" t="s">
        <v>118</v>
      </c>
      <c r="E22" s="16" t="s">
        <v>127</v>
      </c>
      <c r="F22" s="16">
        <v>3923106392</v>
      </c>
      <c r="G22" s="16" t="s">
        <v>128</v>
      </c>
      <c r="H22" s="16"/>
      <c r="I22" s="16" t="s">
        <v>42</v>
      </c>
      <c r="J22" s="16" t="s">
        <v>129</v>
      </c>
      <c r="K22" s="16" t="s">
        <v>130</v>
      </c>
      <c r="L22" s="16" t="s">
        <v>123</v>
      </c>
      <c r="M22" s="16" t="s">
        <v>115</v>
      </c>
      <c r="N22" s="18">
        <v>38310</v>
      </c>
      <c r="O22" s="16" t="s">
        <v>124</v>
      </c>
      <c r="P22" s="16" t="s">
        <v>125</v>
      </c>
      <c r="Q22" s="16"/>
      <c r="R22" s="16"/>
      <c r="S22" s="16"/>
      <c r="T22" s="16"/>
      <c r="U22" s="23" t="str">
        <f>IFERROR(__xludf.DUMMYFUNCTION("IFERROR(IF(ISTEXT(G22),TIMEVALUE(IF(REGEXMATCH(SUBSTITUTE(SUBSTITUTE(SUBSTITUTE(REGEXEXTRACT(G22,""(\d{1,2}(?:[:\.h\s]\d{2})?)""),""."","":"" ),""h"","":"" ),"" "","":"" ),""^\d{1,2}$""),SUBSTITUTE(SUBSTITUTE(SUBSTITUTE(REGEXEXTRACT(G22,""(\d{1,2}(?:[:\.h"&amp;"\s]\d{2})?)""),""."","":"" ),""h"","":"" ),"" "","":"" ) &amp; "":00"",SUBSTITUTE(SUBSTITUTE(SUBSTITUTE(REGEXEXTRACT(G22,""(\d{1,2}(?:[:\.h\s]\d{2})?)""),""."","":"" ),""h"","":"" ),"" "","":"" ))),IF(ISNUMBER(G22),MOD(G22,1),"""" )),"""" )"),"")</f>
        <v/>
      </c>
    </row>
    <row r="23" ht="15" customHeight="1" spans="1:21">
      <c r="A23" s="13">
        <v>11</v>
      </c>
      <c r="B23" s="14">
        <v>45689</v>
      </c>
      <c r="C23" s="15">
        <v>38731</v>
      </c>
      <c r="D23" s="15" t="s">
        <v>131</v>
      </c>
      <c r="E23" s="15" t="s">
        <v>132</v>
      </c>
      <c r="F23" s="15">
        <v>3203379346</v>
      </c>
      <c r="G23" s="15" t="s">
        <v>133</v>
      </c>
      <c r="H23" s="15" t="s">
        <v>71</v>
      </c>
      <c r="I23" s="15" t="s">
        <v>42</v>
      </c>
      <c r="J23" s="15" t="s">
        <v>134</v>
      </c>
      <c r="K23" s="15" t="s">
        <v>135</v>
      </c>
      <c r="L23" s="15" t="s">
        <v>136</v>
      </c>
      <c r="M23" s="15" t="s">
        <v>137</v>
      </c>
      <c r="N23" s="17">
        <v>34106</v>
      </c>
      <c r="O23" s="15"/>
      <c r="P23" s="15"/>
      <c r="Q23" s="15"/>
      <c r="R23" s="15" t="s">
        <v>138</v>
      </c>
      <c r="S23" s="15"/>
      <c r="T23" s="15"/>
      <c r="U23" s="20" t="str">
        <f>IFERROR(__xludf.DUMMYFUNCTION("IFERROR(IF(ISTEXT(G23),TIMEVALUE(IF(REGEXMATCH(SUBSTITUTE(SUBSTITUTE(SUBSTITUTE(REGEXEXTRACT(G23,""(\d{1,2}(?:[:\.h\s]\d{2})?)""),""."","":"" ),""h"","":"" ),"" "","":"" ),""^\d{1,2}$""),SUBSTITUTE(SUBSTITUTE(SUBSTITUTE(REGEXEXTRACT(G23,""(\d{1,2}(?:[:\.h"&amp;"\s]\d{2})?)""),""."","":"" ),""h"","":"" ),"" "","":"" ) &amp; "":00"",SUBSTITUTE(SUBSTITUTE(SUBSTITUTE(REGEXEXTRACT(G23,""(\d{1,2}(?:[:\.h\s]\d{2})?)""),""."","":"" ),""h"","":"" ),"" "","":"" ))),IF(ISNUMBER(G23),MOD(G23,1),"""" )),"""" )"),"")</f>
        <v/>
      </c>
    </row>
    <row r="24" ht="15" customHeight="1" spans="1:21">
      <c r="A24" s="13">
        <v>11</v>
      </c>
      <c r="B24" s="14">
        <v>45690</v>
      </c>
      <c r="C24" s="15">
        <v>38731</v>
      </c>
      <c r="D24" s="15" t="s">
        <v>139</v>
      </c>
      <c r="E24" s="15" t="s">
        <v>140</v>
      </c>
      <c r="F24" s="15">
        <v>3926809943</v>
      </c>
      <c r="G24" s="15" t="s">
        <v>141</v>
      </c>
      <c r="H24" s="15"/>
      <c r="I24" s="15">
        <v>459</v>
      </c>
      <c r="J24" s="15" t="s">
        <v>142</v>
      </c>
      <c r="K24" s="15" t="s">
        <v>143</v>
      </c>
      <c r="L24" s="15" t="s">
        <v>45</v>
      </c>
      <c r="M24" s="15" t="s">
        <v>46</v>
      </c>
      <c r="N24" s="17">
        <v>39050</v>
      </c>
      <c r="O24" s="15"/>
      <c r="P24" s="15"/>
      <c r="Q24" s="15"/>
      <c r="R24" s="15"/>
      <c r="S24" s="15"/>
      <c r="T24" s="15"/>
      <c r="U24" s="20" t="str">
        <f>IFERROR(__xludf.DUMMYFUNCTION("IFERROR(IF(ISTEXT(G24),TIMEVALUE(IF(REGEXMATCH(SUBSTITUTE(SUBSTITUTE(SUBSTITUTE(REGEXEXTRACT(G24,""(\d{1,2}(?:[:\.h\s]\d{2})?)""),""."","":"" ),""h"","":"" ),"" "","":"" ),""^\d{1,2}$""),SUBSTITUTE(SUBSTITUTE(SUBSTITUTE(REGEXEXTRACT(G24,""(\d{1,2}(?:[:\.h"&amp;"\s]\d{2})?)""),""."","":"" ),""h"","":"" ),"" "","":"" ) &amp; "":00"",SUBSTITUTE(SUBSTITUTE(SUBSTITUTE(REGEXEXTRACT(G24,""(\d{1,2}(?:[:\.h\s]\d{2})?)""),""."","":"" ),""h"","":"" ),"" "","":"" ))),IF(ISNUMBER(G24),MOD(G24,1),"""" )),"""" )"),"")</f>
        <v/>
      </c>
    </row>
    <row r="25" ht="15" customHeight="1" spans="1:21">
      <c r="A25" s="13">
        <v>12</v>
      </c>
      <c r="B25" s="14">
        <v>45689</v>
      </c>
      <c r="C25" s="16">
        <v>38949</v>
      </c>
      <c r="D25" s="16" t="s">
        <v>144</v>
      </c>
      <c r="E25" s="16" t="s">
        <v>145</v>
      </c>
      <c r="F25" s="16">
        <v>3284769359</v>
      </c>
      <c r="G25" s="16" t="s">
        <v>146</v>
      </c>
      <c r="H25" s="16" t="s">
        <v>71</v>
      </c>
      <c r="I25" s="16" t="s">
        <v>42</v>
      </c>
      <c r="J25" s="16" t="s">
        <v>147</v>
      </c>
      <c r="K25" s="16" t="s">
        <v>148</v>
      </c>
      <c r="L25" s="16" t="s">
        <v>45</v>
      </c>
      <c r="M25" s="16" t="s">
        <v>46</v>
      </c>
      <c r="N25" s="18">
        <v>25072</v>
      </c>
      <c r="O25" s="16"/>
      <c r="P25" s="16"/>
      <c r="Q25" s="16"/>
      <c r="R25" s="16"/>
      <c r="S25" s="16"/>
      <c r="T25" s="16"/>
      <c r="U25" s="23" t="str">
        <f>IFERROR(__xludf.DUMMYFUNCTION("IFERROR(IF(ISTEXT(G25),TIMEVALUE(IF(REGEXMATCH(SUBSTITUTE(SUBSTITUTE(SUBSTITUTE(REGEXEXTRACT(G25,""(\d{1,2}(?:[:\.h\s]\d{2})?)""),""."","":"" ),""h"","":"" ),"" "","":"" ),""^\d{1,2}$""),SUBSTITUTE(SUBSTITUTE(SUBSTITUTE(REGEXEXTRACT(G25,""(\d{1,2}(?:[:\.h"&amp;"\s]\d{2})?)""),""."","":"" ),""h"","":"" ),"" "","":"" ) &amp; "":00"",SUBSTITUTE(SUBSTITUTE(SUBSTITUTE(REGEXEXTRACT(G25,""(\d{1,2}(?:[:\.h\s]\d{2})?)""),""."","":"" ),""h"","":"" ),"" "","":"" ))),IF(ISNUMBER(G25),MOD(G25,1),"""" )),"""" )"),"")</f>
        <v/>
      </c>
    </row>
    <row r="26" ht="15" customHeight="1" spans="1:21">
      <c r="A26" s="13">
        <v>12</v>
      </c>
      <c r="B26" s="14">
        <v>45690</v>
      </c>
      <c r="C26" s="16">
        <v>38949</v>
      </c>
      <c r="D26" s="16" t="s">
        <v>149</v>
      </c>
      <c r="E26" s="16" t="s">
        <v>150</v>
      </c>
      <c r="F26" s="16">
        <v>3478892164</v>
      </c>
      <c r="G26" s="16" t="s">
        <v>151</v>
      </c>
      <c r="H26" s="16"/>
      <c r="I26" s="16" t="s">
        <v>42</v>
      </c>
      <c r="J26" s="16"/>
      <c r="K26" s="16" t="s">
        <v>152</v>
      </c>
      <c r="L26" s="16" t="s">
        <v>109</v>
      </c>
      <c r="M26" s="16" t="s">
        <v>96</v>
      </c>
      <c r="N26" s="18">
        <v>23656</v>
      </c>
      <c r="O26" s="16" t="s">
        <v>153</v>
      </c>
      <c r="P26" s="16"/>
      <c r="Q26" s="16"/>
      <c r="R26" s="16"/>
      <c r="S26" s="16"/>
      <c r="T26" s="16"/>
      <c r="U26" s="23" t="str">
        <f>IFERROR(__xludf.DUMMYFUNCTION("IFERROR(IF(ISTEXT(G26),TIMEVALUE(IF(REGEXMATCH(SUBSTITUTE(SUBSTITUTE(SUBSTITUTE(REGEXEXTRACT(G26,""(\d{1,2}(?:[:\.h\s]\d{2})?)""),""."","":"" ),""h"","":"" ),"" "","":"" ),""^\d{1,2}$""),SUBSTITUTE(SUBSTITUTE(SUBSTITUTE(REGEXEXTRACT(G26,""(\d{1,2}(?:[:\.h"&amp;"\s]\d{2})?)""),""."","":"" ),""h"","":"" ),"" "","":"" ) &amp; "":00"",SUBSTITUTE(SUBSTITUTE(SUBSTITUTE(REGEXEXTRACT(G26,""(\d{1,2}(?:[:\.h\s]\d{2})?)""),""."","":"" ),""h"","":"" ),"" "","":"" ))),IF(ISNUMBER(G26),MOD(G26,1),"""" )),"""" )"),"")</f>
        <v/>
      </c>
    </row>
    <row r="27" ht="15" customHeight="1" spans="1:21">
      <c r="A27" s="13">
        <v>3</v>
      </c>
      <c r="B27" s="14">
        <v>45689</v>
      </c>
      <c r="C27" s="15">
        <v>39181</v>
      </c>
      <c r="D27" s="15" t="s">
        <v>154</v>
      </c>
      <c r="E27" s="15" t="s">
        <v>155</v>
      </c>
      <c r="F27" s="15"/>
      <c r="G27" s="15"/>
      <c r="H27" s="15" t="s">
        <v>71</v>
      </c>
      <c r="I27" s="15" t="s">
        <v>42</v>
      </c>
      <c r="J27" s="15" t="s">
        <v>156</v>
      </c>
      <c r="K27" s="15" t="s">
        <v>157</v>
      </c>
      <c r="L27" s="15" t="s">
        <v>45</v>
      </c>
      <c r="M27" s="15" t="s">
        <v>46</v>
      </c>
      <c r="N27" s="17">
        <v>28070</v>
      </c>
      <c r="O27" s="15"/>
      <c r="P27" s="15"/>
      <c r="Q27" s="15"/>
      <c r="R27" s="15"/>
      <c r="S27" s="15"/>
      <c r="T27" s="15"/>
      <c r="U27" s="20" t="str">
        <f>IFERROR(__xludf.DUMMYFUNCTION("IFERROR(IF(ISTEXT(G27),TIMEVALUE(IF(REGEXMATCH(SUBSTITUTE(SUBSTITUTE(SUBSTITUTE(REGEXEXTRACT(G27,""(\d{1,2}(?:[:\.h\s]\d{2})?)""),""."","":"" ),""h"","":"" ),"" "","":"" ),""^\d{1,2}$""),SUBSTITUTE(SUBSTITUTE(SUBSTITUTE(REGEXEXTRACT(G27,""(\d{1,2}(?:[:\.h"&amp;"\s]\d{2})?)""),""."","":"" ),""h"","":"" ),"" "","":"" ) &amp; "":00"",SUBSTITUTE(SUBSTITUTE(SUBSTITUTE(REGEXEXTRACT(G27,""(\d{1,2}(?:[:\.h\s]\d{2})?)""),""."","":"" ),""h"","":"" ),"" "","":"" ))),IF(ISNUMBER(G27),MOD(G27,1),"""" )),"""" )"),"")</f>
        <v/>
      </c>
    </row>
    <row r="28" ht="15" customHeight="1" spans="1:21">
      <c r="A28" s="13">
        <v>3</v>
      </c>
      <c r="B28" s="14">
        <v>45690</v>
      </c>
      <c r="C28" s="15">
        <v>39181</v>
      </c>
      <c r="D28" s="15" t="s">
        <v>154</v>
      </c>
      <c r="E28" s="15" t="s">
        <v>158</v>
      </c>
      <c r="F28" s="15">
        <v>3478906366</v>
      </c>
      <c r="G28" s="15"/>
      <c r="H28" s="15"/>
      <c r="I28" s="15" t="s">
        <v>42</v>
      </c>
      <c r="J28" s="15" t="s">
        <v>159</v>
      </c>
      <c r="K28" s="15" t="s">
        <v>160</v>
      </c>
      <c r="L28" s="15" t="s">
        <v>45</v>
      </c>
      <c r="M28" s="15" t="s">
        <v>46</v>
      </c>
      <c r="N28" s="17">
        <v>39896</v>
      </c>
      <c r="O28" s="15"/>
      <c r="P28" s="15"/>
      <c r="Q28" s="15"/>
      <c r="R28" s="15"/>
      <c r="S28" s="15"/>
      <c r="T28" s="15"/>
      <c r="U28" s="20" t="str">
        <f>IFERROR(__xludf.DUMMYFUNCTION("IFERROR(IF(ISTEXT(G28),TIMEVALUE(IF(REGEXMATCH(SUBSTITUTE(SUBSTITUTE(SUBSTITUTE(REGEXEXTRACT(G28,""(\d{1,2}(?:[:\.h\s]\d{2})?)""),""."","":"" ),""h"","":"" ),"" "","":"" ),""^\d{1,2}$""),SUBSTITUTE(SUBSTITUTE(SUBSTITUTE(REGEXEXTRACT(G28,""(\d{1,2}(?:[:\.h"&amp;"\s]\d{2})?)""),""."","":"" ),""h"","":"" ),"" "","":"" ) &amp; "":00"",SUBSTITUTE(SUBSTITUTE(SUBSTITUTE(REGEXEXTRACT(G28,""(\d{1,2}(?:[:\.h\s]\d{2})?)""),""."","":"" ),""h"","":"" ),"" "","":"" ))),IF(ISNUMBER(G28),MOD(G28,1),"""" )),"""" )"),"")</f>
        <v/>
      </c>
    </row>
    <row r="29" ht="15" customHeight="1" spans="1:21">
      <c r="A29" s="13">
        <v>3</v>
      </c>
      <c r="B29" s="14">
        <v>45689</v>
      </c>
      <c r="C29" s="16">
        <v>39181</v>
      </c>
      <c r="D29" s="16" t="s">
        <v>54</v>
      </c>
      <c r="E29" s="16" t="s">
        <v>161</v>
      </c>
      <c r="F29" s="16">
        <v>3270299500</v>
      </c>
      <c r="G29" s="16" t="s">
        <v>162</v>
      </c>
      <c r="H29" s="16" t="s">
        <v>71</v>
      </c>
      <c r="I29" s="16" t="s">
        <v>42</v>
      </c>
      <c r="J29" s="16" t="s">
        <v>163</v>
      </c>
      <c r="K29" s="16" t="s">
        <v>164</v>
      </c>
      <c r="L29" s="16" t="s">
        <v>45</v>
      </c>
      <c r="M29" s="16" t="s">
        <v>46</v>
      </c>
      <c r="N29" s="18">
        <v>34316</v>
      </c>
      <c r="O29" s="16"/>
      <c r="P29" s="16"/>
      <c r="Q29" s="16"/>
      <c r="R29" s="16"/>
      <c r="S29" s="16"/>
      <c r="T29" s="16"/>
      <c r="U29" s="23" t="str">
        <f>IFERROR(__xludf.DUMMYFUNCTION("IFERROR(IF(ISTEXT(G29),TIMEVALUE(IF(REGEXMATCH(SUBSTITUTE(SUBSTITUTE(SUBSTITUTE(REGEXEXTRACT(G29,""(\d{1,2}(?:[:\.h\s]\d{2})?)""),""."","":"" ),""h"","":"" ),"" "","":"" ),""^\d{1,2}$""),SUBSTITUTE(SUBSTITUTE(SUBSTITUTE(REGEXEXTRACT(G29,""(\d{1,2}(?:[:\.h"&amp;"\s]\d{2})?)""),""."","":"" ),""h"","":"" ),"" "","":"" ) &amp; "":00"",SUBSTITUTE(SUBSTITUTE(SUBSTITUTE(REGEXEXTRACT(G29,""(\d{1,2}(?:[:\.h\s]\d{2})?)""),""."","":"" ),""h"","":"" ),"" "","":"" ))),IF(ISNUMBER(G29),MOD(G29,1),"""" )),"""" )"),"")</f>
        <v/>
      </c>
    </row>
    <row r="30" ht="15" customHeight="1" spans="1:21">
      <c r="A30" s="13">
        <v>3</v>
      </c>
      <c r="B30" s="14">
        <v>45690</v>
      </c>
      <c r="C30" s="16">
        <v>39181</v>
      </c>
      <c r="D30" s="16" t="s">
        <v>165</v>
      </c>
      <c r="E30" s="16" t="s">
        <v>166</v>
      </c>
      <c r="F30" s="16">
        <v>3357505498</v>
      </c>
      <c r="G30" s="16" t="s">
        <v>167</v>
      </c>
      <c r="H30" s="16"/>
      <c r="I30" s="16" t="s">
        <v>42</v>
      </c>
      <c r="J30" s="16"/>
      <c r="K30" s="16" t="s">
        <v>168</v>
      </c>
      <c r="L30" s="16" t="s">
        <v>169</v>
      </c>
      <c r="M30" s="16" t="s">
        <v>170</v>
      </c>
      <c r="N30" s="18">
        <v>34601</v>
      </c>
      <c r="O30" s="16"/>
      <c r="P30" s="16"/>
      <c r="Q30" s="16"/>
      <c r="R30" s="16"/>
      <c r="S30" s="16"/>
      <c r="T30" s="16"/>
      <c r="U30" s="23" t="str">
        <f>IFERROR(__xludf.DUMMYFUNCTION("IFERROR(IF(ISTEXT(G30),TIMEVALUE(IF(REGEXMATCH(SUBSTITUTE(SUBSTITUTE(SUBSTITUTE(REGEXEXTRACT(G30,""(\d{1,2}(?:[:\.h\s]\d{2})?)""),""."","":"" ),""h"","":"" ),"" "","":"" ),""^\d{1,2}$""),SUBSTITUTE(SUBSTITUTE(SUBSTITUTE(REGEXEXTRACT(G30,""(\d{1,2}(?:[:\.h"&amp;"\s]\d{2})?)""),""."","":"" ),""h"","":"" ),"" "","":"" ) &amp; "":00"",SUBSTITUTE(SUBSTITUTE(SUBSTITUTE(REGEXEXTRACT(G30,""(\d{1,2}(?:[:\.h\s]\d{2})?)""),""."","":"" ),""h"","":"" ),"" "","":"" ))),IF(ISNUMBER(G30),MOD(G30,1),"""" )),"""" )"),"")</f>
        <v/>
      </c>
    </row>
    <row r="31" ht="15" customHeight="1" spans="1:21">
      <c r="A31" s="13">
        <v>13</v>
      </c>
      <c r="B31" s="14">
        <v>45689</v>
      </c>
      <c r="C31" s="15">
        <v>39477</v>
      </c>
      <c r="D31" s="15" t="s">
        <v>171</v>
      </c>
      <c r="E31" s="15" t="s">
        <v>172</v>
      </c>
      <c r="F31" s="15">
        <v>3357589738</v>
      </c>
      <c r="G31" s="15" t="s">
        <v>173</v>
      </c>
      <c r="H31" s="15" t="s">
        <v>71</v>
      </c>
      <c r="I31" s="15" t="s">
        <v>42</v>
      </c>
      <c r="J31" s="15" t="s">
        <v>43</v>
      </c>
      <c r="K31" s="15" t="s">
        <v>174</v>
      </c>
      <c r="L31" s="15" t="s">
        <v>45</v>
      </c>
      <c r="M31" s="15" t="s">
        <v>46</v>
      </c>
      <c r="N31" s="17">
        <v>27455</v>
      </c>
      <c r="O31" s="15"/>
      <c r="P31" s="15" t="s">
        <v>175</v>
      </c>
      <c r="Q31" s="15" t="s">
        <v>176</v>
      </c>
      <c r="R31" s="15" t="s">
        <v>177</v>
      </c>
      <c r="S31" s="15" t="s">
        <v>48</v>
      </c>
      <c r="T31" s="15"/>
      <c r="U31" s="20" t="str">
        <f>IFERROR(__xludf.DUMMYFUNCTION("IFERROR(IF(ISTEXT(G31),TIMEVALUE(IF(REGEXMATCH(SUBSTITUTE(SUBSTITUTE(SUBSTITUTE(REGEXEXTRACT(G31,""(\d{1,2}(?:[:\.h\s]\d{2})?)""),""."","":"" ),""h"","":"" ),"" "","":"" ),""^\d{1,2}$""),SUBSTITUTE(SUBSTITUTE(SUBSTITUTE(REGEXEXTRACT(G31,""(\d{1,2}(?:[:\.h"&amp;"\s]\d{2})?)""),""."","":"" ),""h"","":"" ),"" "","":"" ) &amp; "":00"",SUBSTITUTE(SUBSTITUTE(SUBSTITUTE(REGEXEXTRACT(G31,""(\d{1,2}(?:[:\.h\s]\d{2})?)""),""."","":"" ),""h"","":"" ),"" "","":"" ))),IF(ISNUMBER(G31),MOD(G31,1),"""" )),"""" )"),"")</f>
        <v/>
      </c>
    </row>
    <row r="32" ht="15" customHeight="1" spans="1:21">
      <c r="A32" s="13">
        <v>13</v>
      </c>
      <c r="B32" s="14">
        <v>45690</v>
      </c>
      <c r="C32" s="15">
        <v>39477</v>
      </c>
      <c r="D32" s="15" t="s">
        <v>178</v>
      </c>
      <c r="E32" s="15" t="s">
        <v>179</v>
      </c>
      <c r="F32" s="15"/>
      <c r="G32" s="15" t="s">
        <v>173</v>
      </c>
      <c r="H32" s="15"/>
      <c r="I32" s="15" t="s">
        <v>42</v>
      </c>
      <c r="J32" s="15"/>
      <c r="K32" s="15" t="s">
        <v>180</v>
      </c>
      <c r="L32" s="15" t="s">
        <v>45</v>
      </c>
      <c r="M32" s="15" t="s">
        <v>46</v>
      </c>
      <c r="N32" s="17">
        <v>40837</v>
      </c>
      <c r="O32" s="15"/>
      <c r="P32" s="15"/>
      <c r="Q32" s="15" t="s">
        <v>176</v>
      </c>
      <c r="R32" s="15"/>
      <c r="S32" s="15" t="s">
        <v>48</v>
      </c>
      <c r="T32" s="15"/>
      <c r="U32" s="20" t="str">
        <f>IFERROR(__xludf.DUMMYFUNCTION("IFERROR(IF(ISTEXT(G32),TIMEVALUE(IF(REGEXMATCH(SUBSTITUTE(SUBSTITUTE(SUBSTITUTE(REGEXEXTRACT(G32,""(\d{1,2}(?:[:\.h\s]\d{2})?)""),""."","":"" ),""h"","":"" ),"" "","":"" ),""^\d{1,2}$""),SUBSTITUTE(SUBSTITUTE(SUBSTITUTE(REGEXEXTRACT(G32,""(\d{1,2}(?:[:\.h"&amp;"\s]\d{2})?)""),""."","":"" ),""h"","":"" ),"" "","":"" ) &amp; "":00"",SUBSTITUTE(SUBSTITUTE(SUBSTITUTE(REGEXEXTRACT(G32,""(\d{1,2}(?:[:\.h\s]\d{2})?)""),""."","":"" ),""h"","":"" ),"" "","":"" ))),IF(ISNUMBER(G32),MOD(G32,1),"""" )),"""" )"),"")</f>
        <v/>
      </c>
    </row>
    <row r="33" ht="15" customHeight="1" spans="1:21">
      <c r="A33" s="13">
        <v>14</v>
      </c>
      <c r="B33" s="14">
        <v>45689</v>
      </c>
      <c r="C33" s="16">
        <v>39478</v>
      </c>
      <c r="D33" s="16" t="s">
        <v>181</v>
      </c>
      <c r="E33" s="16" t="s">
        <v>182</v>
      </c>
      <c r="F33" s="16">
        <v>3755355643</v>
      </c>
      <c r="G33" s="16" t="s">
        <v>183</v>
      </c>
      <c r="H33" s="16" t="s">
        <v>71</v>
      </c>
      <c r="I33" s="16" t="s">
        <v>42</v>
      </c>
      <c r="J33" s="16" t="s">
        <v>43</v>
      </c>
      <c r="K33" s="16" t="s">
        <v>184</v>
      </c>
      <c r="L33" s="16" t="s">
        <v>185</v>
      </c>
      <c r="M33" s="16" t="s">
        <v>77</v>
      </c>
      <c r="N33" s="18">
        <v>29971</v>
      </c>
      <c r="O33" s="16"/>
      <c r="P33" s="16" t="s">
        <v>64</v>
      </c>
      <c r="Q33" s="16" t="s">
        <v>176</v>
      </c>
      <c r="R33" s="16" t="s">
        <v>186</v>
      </c>
      <c r="S33" s="16"/>
      <c r="T33" s="16"/>
      <c r="U33" s="23" t="str">
        <f>IFERROR(__xludf.DUMMYFUNCTION("IFERROR(IF(ISTEXT(G33),TIMEVALUE(IF(REGEXMATCH(SUBSTITUTE(SUBSTITUTE(SUBSTITUTE(REGEXEXTRACT(G33,""(\d{1,2}(?:[:\.h\s]\d{2})?)""),""."","":"" ),""h"","":"" ),"" "","":"" ),""^\d{1,2}$""),SUBSTITUTE(SUBSTITUTE(SUBSTITUTE(REGEXEXTRACT(G33,""(\d{1,2}(?:[:\.h"&amp;"\s]\d{2})?)""),""."","":"" ),""h"","":"" ),"" "","":"" ) &amp; "":00"",SUBSTITUTE(SUBSTITUTE(SUBSTITUTE(REGEXEXTRACT(G33,""(\d{1,2}(?:[:\.h\s]\d{2})?)""),""."","":"" ),""h"","":"" ),"" "","":"" ))),IF(ISNUMBER(G33),MOD(G33,1),"""" )),"""" )"),"")</f>
        <v/>
      </c>
    </row>
    <row r="34" ht="15" customHeight="1" spans="1:21">
      <c r="A34" s="13">
        <v>14</v>
      </c>
      <c r="B34" s="14">
        <v>45690</v>
      </c>
      <c r="C34" s="16">
        <v>39478</v>
      </c>
      <c r="D34" s="16" t="s">
        <v>187</v>
      </c>
      <c r="E34" s="16" t="s">
        <v>188</v>
      </c>
      <c r="F34" s="16"/>
      <c r="G34" s="16" t="s">
        <v>183</v>
      </c>
      <c r="H34" s="16"/>
      <c r="I34" s="16" t="s">
        <v>42</v>
      </c>
      <c r="J34" s="16"/>
      <c r="K34" s="16" t="s">
        <v>189</v>
      </c>
      <c r="L34" s="16" t="s">
        <v>109</v>
      </c>
      <c r="M34" s="16" t="s">
        <v>96</v>
      </c>
      <c r="N34" s="18">
        <v>40843</v>
      </c>
      <c r="O34" s="16"/>
      <c r="P34" s="16" t="s">
        <v>64</v>
      </c>
      <c r="Q34" s="16" t="s">
        <v>176</v>
      </c>
      <c r="R34" s="16"/>
      <c r="S34" s="16"/>
      <c r="T34" s="16"/>
      <c r="U34" s="23" t="str">
        <f>IFERROR(__xludf.DUMMYFUNCTION("IFERROR(IF(ISTEXT(G34),TIMEVALUE(IF(REGEXMATCH(SUBSTITUTE(SUBSTITUTE(SUBSTITUTE(REGEXEXTRACT(G34,""(\d{1,2}(?:[:\.h\s]\d{2})?)""),""."","":"" ),""h"","":"" ),"" "","":"" ),""^\d{1,2}$""),SUBSTITUTE(SUBSTITUTE(SUBSTITUTE(REGEXEXTRACT(G34,""(\d{1,2}(?:[:\.h"&amp;"\s]\d{2})?)""),""."","":"" ),""h"","":"" ),"" "","":"" ) &amp; "":00"",SUBSTITUTE(SUBSTITUTE(SUBSTITUTE(REGEXEXTRACT(G34,""(\d{1,2}(?:[:\.h\s]\d{2})?)""),""."","":"" ),""h"","":"" ),"" "","":"" ))),IF(ISNUMBER(G34),MOD(G34,1),"""" )),"""" )"),"")</f>
        <v/>
      </c>
    </row>
    <row r="35" ht="15" customHeight="1" spans="1:21">
      <c r="A35" s="13">
        <v>15</v>
      </c>
      <c r="B35" s="14">
        <v>45689</v>
      </c>
      <c r="C35" s="15">
        <v>39572</v>
      </c>
      <c r="D35" s="15" t="s">
        <v>190</v>
      </c>
      <c r="E35" s="15" t="s">
        <v>191</v>
      </c>
      <c r="F35" s="15">
        <v>3455017465</v>
      </c>
      <c r="G35" s="15" t="s">
        <v>192</v>
      </c>
      <c r="H35" s="15" t="s">
        <v>71</v>
      </c>
      <c r="I35" s="15" t="s">
        <v>42</v>
      </c>
      <c r="J35" s="15"/>
      <c r="K35" s="15" t="s">
        <v>193</v>
      </c>
      <c r="L35" s="15" t="s">
        <v>45</v>
      </c>
      <c r="M35" s="15" t="s">
        <v>46</v>
      </c>
      <c r="N35" s="17">
        <v>28054</v>
      </c>
      <c r="O35" s="15" t="s">
        <v>194</v>
      </c>
      <c r="P35" s="15" t="s">
        <v>194</v>
      </c>
      <c r="Q35" s="15" t="s">
        <v>195</v>
      </c>
      <c r="R35" s="15" t="s">
        <v>196</v>
      </c>
      <c r="S35" s="15" t="s">
        <v>197</v>
      </c>
      <c r="T35" s="15"/>
      <c r="U35" s="20" t="str">
        <f>IFERROR(__xludf.DUMMYFUNCTION("IFERROR(IF(ISTEXT(G35),TIMEVALUE(IF(REGEXMATCH(SUBSTITUTE(SUBSTITUTE(SUBSTITUTE(REGEXEXTRACT(G35,""(\d{1,2}(?:[:\.h\s]\d{2})?)""),""."","":"" ),""h"","":"" ),"" "","":"" ),""^\d{1,2}$""),SUBSTITUTE(SUBSTITUTE(SUBSTITUTE(REGEXEXTRACT(G35,""(\d{1,2}(?:[:\.h"&amp;"\s]\d{2})?)""),""."","":"" ),""h"","":"" ),"" "","":"" ) &amp; "":00"",SUBSTITUTE(SUBSTITUTE(SUBSTITUTE(REGEXEXTRACT(G35,""(\d{1,2}(?:[:\.h\s]\d{2})?)""),""."","":"" ),""h"","":"" ),"" "","":"" ))),IF(ISNUMBER(G35),MOD(G35,1),"""" )),"""" )"),"")</f>
        <v/>
      </c>
    </row>
    <row r="36" ht="15" customHeight="1" spans="1:21">
      <c r="A36" s="13">
        <v>15</v>
      </c>
      <c r="B36" s="14">
        <v>45690</v>
      </c>
      <c r="C36" s="15">
        <v>39572</v>
      </c>
      <c r="D36" s="15" t="s">
        <v>190</v>
      </c>
      <c r="E36" s="15" t="s">
        <v>198</v>
      </c>
      <c r="F36" s="15"/>
      <c r="G36" s="15"/>
      <c r="H36" s="15"/>
      <c r="I36" s="15" t="s">
        <v>42</v>
      </c>
      <c r="J36" s="15"/>
      <c r="K36" s="15" t="s">
        <v>199</v>
      </c>
      <c r="L36" s="15" t="s">
        <v>45</v>
      </c>
      <c r="M36" s="15" t="s">
        <v>46</v>
      </c>
      <c r="N36" s="17">
        <v>41009</v>
      </c>
      <c r="O36" s="15" t="s">
        <v>194</v>
      </c>
      <c r="P36" s="15" t="s">
        <v>194</v>
      </c>
      <c r="Q36" s="15" t="s">
        <v>195</v>
      </c>
      <c r="R36" s="15"/>
      <c r="S36" s="15" t="s">
        <v>197</v>
      </c>
      <c r="T36" s="15"/>
      <c r="U36" s="20" t="str">
        <f>IFERROR(__xludf.DUMMYFUNCTION("IFERROR(IF(ISTEXT(G36),TIMEVALUE(IF(REGEXMATCH(SUBSTITUTE(SUBSTITUTE(SUBSTITUTE(REGEXEXTRACT(G36,""(\d{1,2}(?:[:\.h\s]\d{2})?)""),""."","":"" ),""h"","":"" ),"" "","":"" ),""^\d{1,2}$""),SUBSTITUTE(SUBSTITUTE(SUBSTITUTE(REGEXEXTRACT(G36,""(\d{1,2}(?:[:\.h"&amp;"\s]\d{2})?)""),""."","":"" ),""h"","":"" ),"" "","":"" ) &amp; "":00"",SUBSTITUTE(SUBSTITUTE(SUBSTITUTE(REGEXEXTRACT(G36,""(\d{1,2}(?:[:\.h\s]\d{2})?)""),""."","":"" ),""h"","":"" ),"" "","":"" ))),IF(ISNUMBER(G36),MOD(G36,1),"""" )),"""" )"),"")</f>
        <v/>
      </c>
    </row>
    <row r="37" ht="15" customHeight="1" spans="1:21">
      <c r="A37" s="13">
        <v>16</v>
      </c>
      <c r="B37" s="14">
        <v>45689</v>
      </c>
      <c r="C37" s="16">
        <v>39679</v>
      </c>
      <c r="D37" s="16" t="s">
        <v>200</v>
      </c>
      <c r="E37" s="16" t="s">
        <v>201</v>
      </c>
      <c r="F37" s="16" t="s">
        <v>202</v>
      </c>
      <c r="G37" s="16" t="s">
        <v>203</v>
      </c>
      <c r="H37" s="16" t="s">
        <v>71</v>
      </c>
      <c r="I37" s="16" t="s">
        <v>42</v>
      </c>
      <c r="J37" s="16" t="s">
        <v>43</v>
      </c>
      <c r="K37" s="16" t="s">
        <v>204</v>
      </c>
      <c r="L37" s="16" t="s">
        <v>205</v>
      </c>
      <c r="M37" s="16" t="s">
        <v>206</v>
      </c>
      <c r="N37" s="18">
        <v>25983</v>
      </c>
      <c r="O37" s="16"/>
      <c r="P37" s="16"/>
      <c r="Q37" s="16"/>
      <c r="R37" s="16" t="s">
        <v>207</v>
      </c>
      <c r="S37" s="16"/>
      <c r="T37" s="16"/>
      <c r="U37" s="23" t="str">
        <f>IFERROR(__xludf.DUMMYFUNCTION("IFERROR(IF(ISTEXT(G37),TIMEVALUE(IF(REGEXMATCH(SUBSTITUTE(SUBSTITUTE(SUBSTITUTE(REGEXEXTRACT(G37,""(\d{1,2}(?:[:\.h\s]\d{2})?)""),""."","":"" ),""h"","":"" ),"" "","":"" ),""^\d{1,2}$""),SUBSTITUTE(SUBSTITUTE(SUBSTITUTE(REGEXEXTRACT(G37,""(\d{1,2}(?:[:\.h"&amp;"\s]\d{2})?)""),""."","":"" ),""h"","":"" ),"" "","":"" ) &amp; "":00"",SUBSTITUTE(SUBSTITUTE(SUBSTITUTE(REGEXEXTRACT(G37,""(\d{1,2}(?:[:\.h\s]\d{2})?)""),""."","":"" ),""h"","":"" ),"" "","":"" ))),IF(ISNUMBER(G37),MOD(G37,1),"""" )),"""" )"),"")</f>
        <v/>
      </c>
    </row>
    <row r="38" ht="15" customHeight="1" spans="1:21">
      <c r="A38" s="13">
        <v>16</v>
      </c>
      <c r="B38" s="14">
        <v>45690</v>
      </c>
      <c r="C38" s="16">
        <v>39679</v>
      </c>
      <c r="D38" s="16" t="s">
        <v>208</v>
      </c>
      <c r="E38" s="16" t="s">
        <v>209</v>
      </c>
      <c r="F38" s="16">
        <v>3474875629</v>
      </c>
      <c r="G38" s="16" t="s">
        <v>210</v>
      </c>
      <c r="H38" s="16"/>
      <c r="I38" s="16" t="s">
        <v>42</v>
      </c>
      <c r="J38" s="16" t="s">
        <v>211</v>
      </c>
      <c r="K38" s="16" t="s">
        <v>212</v>
      </c>
      <c r="L38" s="16" t="s">
        <v>213</v>
      </c>
      <c r="M38" s="16" t="s">
        <v>96</v>
      </c>
      <c r="N38" s="18">
        <v>26369</v>
      </c>
      <c r="O38" s="16"/>
      <c r="P38" s="16"/>
      <c r="Q38" s="16"/>
      <c r="R38" s="16"/>
      <c r="S38" s="16"/>
      <c r="T38" s="16"/>
      <c r="U38" s="23" t="str">
        <f>IFERROR(__xludf.DUMMYFUNCTION("IFERROR(IF(ISTEXT(G38),TIMEVALUE(IF(REGEXMATCH(SUBSTITUTE(SUBSTITUTE(SUBSTITUTE(REGEXEXTRACT(G38,""(\d{1,2}(?:[:\.h\s]\d{2})?)""),""."","":"" ),""h"","":"" ),"" "","":"" ),""^\d{1,2}$""),SUBSTITUTE(SUBSTITUTE(SUBSTITUTE(REGEXEXTRACT(G38,""(\d{1,2}(?:[:\.h"&amp;"\s]\d{2})?)""),""."","":"" ),""h"","":"" ),"" "","":"" ) &amp; "":00"",SUBSTITUTE(SUBSTITUTE(SUBSTITUTE(REGEXEXTRACT(G38,""(\d{1,2}(?:[:\.h\s]\d{2})?)""),""."","":"" ),""h"","":"" ),"" "","":"" ))),IF(ISNUMBER(G38),MOD(G38,1),"""" )),"""" )"),"")</f>
        <v/>
      </c>
    </row>
    <row r="39" ht="15" customHeight="1" spans="1:21">
      <c r="A39" s="13">
        <v>17</v>
      </c>
      <c r="B39" s="14">
        <v>45689</v>
      </c>
      <c r="C39" s="15">
        <v>39723</v>
      </c>
      <c r="D39" s="15" t="s">
        <v>214</v>
      </c>
      <c r="E39" s="15" t="s">
        <v>215</v>
      </c>
      <c r="F39" s="15">
        <v>3473083904</v>
      </c>
      <c r="G39" s="15" t="s">
        <v>216</v>
      </c>
      <c r="H39" s="15" t="s">
        <v>71</v>
      </c>
      <c r="I39" s="15" t="s">
        <v>42</v>
      </c>
      <c r="J39" s="15">
        <v>39723</v>
      </c>
      <c r="K39" s="15" t="s">
        <v>217</v>
      </c>
      <c r="L39" s="15" t="s">
        <v>218</v>
      </c>
      <c r="M39" s="15" t="s">
        <v>219</v>
      </c>
      <c r="N39" s="17">
        <v>28607</v>
      </c>
      <c r="O39" s="15"/>
      <c r="P39" s="15"/>
      <c r="Q39" s="15"/>
      <c r="R39" s="15"/>
      <c r="S39" s="15"/>
      <c r="T39" s="15"/>
      <c r="U39" s="20" t="str">
        <f>IFERROR(__xludf.DUMMYFUNCTION("IFERROR(IF(ISTEXT(G39),TIMEVALUE(IF(REGEXMATCH(SUBSTITUTE(SUBSTITUTE(SUBSTITUTE(REGEXEXTRACT(G39,""(\d{1,2}(?:[:\.h\s]\d{2})?)""),""."","":"" ),""h"","":"" ),"" "","":"" ),""^\d{1,2}$""),SUBSTITUTE(SUBSTITUTE(SUBSTITUTE(REGEXEXTRACT(G39,""(\d{1,2}(?:[:\.h"&amp;"\s]\d{2})?)""),""."","":"" ),""h"","":"" ),"" "","":"" ) &amp; "":00"",SUBSTITUTE(SUBSTITUTE(SUBSTITUTE(REGEXEXTRACT(G39,""(\d{1,2}(?:[:\.h\s]\d{2})?)""),""."","":"" ),""h"","":"" ),"" "","":"" ))),IF(ISNUMBER(G39),MOD(G39,1),"""" )),"""" )"),"")</f>
        <v/>
      </c>
    </row>
    <row r="40" ht="15" customHeight="1" spans="1:21">
      <c r="A40" s="13">
        <v>17</v>
      </c>
      <c r="B40" s="14">
        <v>45690</v>
      </c>
      <c r="C40" s="15">
        <v>39723</v>
      </c>
      <c r="D40" s="15" t="s">
        <v>214</v>
      </c>
      <c r="E40" s="15" t="s">
        <v>220</v>
      </c>
      <c r="F40" s="15">
        <v>3473083904</v>
      </c>
      <c r="G40" s="15" t="s">
        <v>216</v>
      </c>
      <c r="H40" s="15"/>
      <c r="I40" s="15" t="s">
        <v>42</v>
      </c>
      <c r="J40" s="15" t="s">
        <v>43</v>
      </c>
      <c r="K40" s="15" t="s">
        <v>221</v>
      </c>
      <c r="L40" s="15" t="s">
        <v>218</v>
      </c>
      <c r="M40" s="15" t="s">
        <v>219</v>
      </c>
      <c r="N40" s="17">
        <v>40233</v>
      </c>
      <c r="O40" s="15"/>
      <c r="P40" s="15"/>
      <c r="Q40" s="15"/>
      <c r="R40" s="15" t="s">
        <v>222</v>
      </c>
      <c r="S40" s="15"/>
      <c r="T40" s="15"/>
      <c r="U40" s="20" t="str">
        <f>IFERROR(__xludf.DUMMYFUNCTION("IFERROR(IF(ISTEXT(G40),TIMEVALUE(IF(REGEXMATCH(SUBSTITUTE(SUBSTITUTE(SUBSTITUTE(REGEXEXTRACT(G40,""(\d{1,2}(?:[:\.h\s]\d{2})?)""),""."","":"" ),""h"","":"" ),"" "","":"" ),""^\d{1,2}$""),SUBSTITUTE(SUBSTITUTE(SUBSTITUTE(REGEXEXTRACT(G40,""(\d{1,2}(?:[:\.h"&amp;"\s]\d{2})?)""),""."","":"" ),""h"","":"" ),"" "","":"" ) &amp; "":00"",SUBSTITUTE(SUBSTITUTE(SUBSTITUTE(REGEXEXTRACT(G40,""(\d{1,2}(?:[:\.h\s]\d{2})?)""),""."","":"" ),""h"","":"" ),"" "","":"" ))),IF(ISNUMBER(G40),MOD(G40,1),"""" )),"""" )"),"")</f>
        <v/>
      </c>
    </row>
    <row r="41" ht="15" customHeight="1" spans="1:21">
      <c r="A41" s="13">
        <v>18</v>
      </c>
      <c r="B41" s="14">
        <v>45689</v>
      </c>
      <c r="C41" s="16">
        <v>55555</v>
      </c>
      <c r="D41" s="16" t="s">
        <v>223</v>
      </c>
      <c r="E41" s="16" t="s">
        <v>224</v>
      </c>
      <c r="F41" s="16">
        <v>3407305139</v>
      </c>
      <c r="G41" s="16" t="s">
        <v>225</v>
      </c>
      <c r="H41" s="16" t="s">
        <v>71</v>
      </c>
      <c r="I41" s="16">
        <v>459</v>
      </c>
      <c r="J41" s="16" t="s">
        <v>226</v>
      </c>
      <c r="K41" s="16" t="s">
        <v>227</v>
      </c>
      <c r="L41" s="16" t="s">
        <v>136</v>
      </c>
      <c r="M41" s="16" t="s">
        <v>137</v>
      </c>
      <c r="N41" s="18">
        <v>28226</v>
      </c>
      <c r="O41" s="16"/>
      <c r="P41" s="16"/>
      <c r="Q41" s="16"/>
      <c r="R41" s="16"/>
      <c r="S41" s="16"/>
      <c r="T41" s="16"/>
      <c r="U41" s="23" t="str">
        <f>IFERROR(__xludf.DUMMYFUNCTION("IFERROR(IF(ISTEXT(G41),TIMEVALUE(IF(REGEXMATCH(SUBSTITUTE(SUBSTITUTE(SUBSTITUTE(REGEXEXTRACT(G41,""(\d{1,2}(?:[:\.h\s]\d{2})?)""),""."","":"" ),""h"","":"" ),"" "","":"" ),""^\d{1,2}$""),SUBSTITUTE(SUBSTITUTE(SUBSTITUTE(REGEXEXTRACT(G41,""(\d{1,2}(?:[:\.h"&amp;"\s]\d{2})?)""),""."","":"" ),""h"","":"" ),"" "","":"" ) &amp; "":00"",SUBSTITUTE(SUBSTITUTE(SUBSTITUTE(REGEXEXTRACT(G41,""(\d{1,2}(?:[:\.h\s]\d{2})?)""),""."","":"" ),""h"","":"" ),"" "","":"" ))),IF(ISNUMBER(G41),MOD(G41,1),"""" )),"""" )"),"")</f>
        <v/>
      </c>
    </row>
    <row r="42" ht="15" customHeight="1" spans="1:21">
      <c r="A42" s="13">
        <v>18</v>
      </c>
      <c r="B42" s="14">
        <v>45690</v>
      </c>
      <c r="C42" s="16">
        <v>55555</v>
      </c>
      <c r="D42" s="16" t="s">
        <v>139</v>
      </c>
      <c r="E42" s="16" t="s">
        <v>228</v>
      </c>
      <c r="F42" s="16">
        <v>3358478192</v>
      </c>
      <c r="G42" s="16" t="s">
        <v>229</v>
      </c>
      <c r="H42" s="16"/>
      <c r="I42" s="16">
        <v>459</v>
      </c>
      <c r="J42" s="16"/>
      <c r="K42" s="16" t="s">
        <v>230</v>
      </c>
      <c r="L42" s="16" t="s">
        <v>45</v>
      </c>
      <c r="M42" s="16" t="s">
        <v>46</v>
      </c>
      <c r="N42" s="18">
        <v>28622</v>
      </c>
      <c r="O42" s="16" t="s">
        <v>231</v>
      </c>
      <c r="P42" s="16"/>
      <c r="Q42" s="16"/>
      <c r="R42" s="16"/>
      <c r="S42" s="16"/>
      <c r="T42" s="16"/>
      <c r="U42" s="23" t="str">
        <f>IFERROR(__xludf.DUMMYFUNCTION("IFERROR(IF(ISTEXT(G42),TIMEVALUE(IF(REGEXMATCH(SUBSTITUTE(SUBSTITUTE(SUBSTITUTE(REGEXEXTRACT(G42,""(\d{1,2}(?:[:\.h\s]\d{2})?)""),""."","":"" ),""h"","":"" ),"" "","":"" ),""^\d{1,2}$""),SUBSTITUTE(SUBSTITUTE(SUBSTITUTE(REGEXEXTRACT(G42,""(\d{1,2}(?:[:\.h"&amp;"\s]\d{2})?)""),""."","":"" ),""h"","":"" ),"" "","":"" ) &amp; "":00"",SUBSTITUTE(SUBSTITUTE(SUBSTITUTE(REGEXEXTRACT(G42,""(\d{1,2}(?:[:\.h\s]\d{2})?)""),""."","":"" ),""h"","":"" ),"" "","":"" ))),IF(ISNUMBER(G42),MOD(G42,1),"""" )),"""" )"),"")</f>
        <v/>
      </c>
    </row>
    <row r="43" ht="15" customHeight="1" spans="1:21">
      <c r="A43" s="13">
        <v>19</v>
      </c>
      <c r="B43" s="14">
        <v>45689</v>
      </c>
      <c r="C43" s="15">
        <v>77777</v>
      </c>
      <c r="D43" s="15" t="s">
        <v>232</v>
      </c>
      <c r="E43" s="15" t="s">
        <v>233</v>
      </c>
      <c r="F43" s="15">
        <v>3475174509</v>
      </c>
      <c r="G43" s="15" t="s">
        <v>234</v>
      </c>
      <c r="H43" s="15" t="s">
        <v>71</v>
      </c>
      <c r="I43" s="15" t="s">
        <v>42</v>
      </c>
      <c r="J43" s="15">
        <v>3475174509</v>
      </c>
      <c r="K43" s="15" t="s">
        <v>235</v>
      </c>
      <c r="L43" s="15" t="s">
        <v>109</v>
      </c>
      <c r="M43" s="15" t="s">
        <v>96</v>
      </c>
      <c r="N43" s="17">
        <v>24882</v>
      </c>
      <c r="O43" s="15"/>
      <c r="P43" s="15"/>
      <c r="Q43" s="15"/>
      <c r="R43" s="15"/>
      <c r="S43" s="15"/>
      <c r="T43" s="15"/>
      <c r="U43" s="20" t="str">
        <f>IFERROR(__xludf.DUMMYFUNCTION("IFERROR(IF(ISTEXT(G43),TIMEVALUE(IF(REGEXMATCH(SUBSTITUTE(SUBSTITUTE(SUBSTITUTE(REGEXEXTRACT(G43,""(\d{1,2}(?:[:\.h\s]\d{2})?)""),""."","":"" ),""h"","":"" ),"" "","":"" ),""^\d{1,2}$""),SUBSTITUTE(SUBSTITUTE(SUBSTITUTE(REGEXEXTRACT(G43,""(\d{1,2}(?:[:\.h"&amp;"\s]\d{2})?)""),""."","":"" ),""h"","":"" ),"" "","":"" ) &amp; "":00"",SUBSTITUTE(SUBSTITUTE(SUBSTITUTE(REGEXEXTRACT(G43,""(\d{1,2}(?:[:\.h\s]\d{2})?)""),""."","":"" ),""h"","":"" ),"" "","":"" ))),IF(ISNUMBER(G43),MOD(G43,1),"""" )),"""" )"),"")</f>
        <v/>
      </c>
    </row>
    <row r="44" ht="15" customHeight="1" spans="1:21">
      <c r="A44" s="13">
        <v>19</v>
      </c>
      <c r="B44" s="14">
        <v>45690</v>
      </c>
      <c r="C44" s="15">
        <v>77777</v>
      </c>
      <c r="D44" s="15" t="s">
        <v>236</v>
      </c>
      <c r="E44" s="15" t="s">
        <v>237</v>
      </c>
      <c r="F44" s="15">
        <v>3939207498</v>
      </c>
      <c r="G44" s="15" t="s">
        <v>238</v>
      </c>
      <c r="H44" s="15"/>
      <c r="I44" s="15" t="s">
        <v>42</v>
      </c>
      <c r="J44" s="15" t="s">
        <v>239</v>
      </c>
      <c r="K44" s="15" t="s">
        <v>240</v>
      </c>
      <c r="L44" s="15" t="s">
        <v>205</v>
      </c>
      <c r="M44" s="15" t="s">
        <v>206</v>
      </c>
      <c r="N44" s="17">
        <v>28889</v>
      </c>
      <c r="O44" s="15"/>
      <c r="P44" s="15"/>
      <c r="Q44" s="15"/>
      <c r="R44" s="15"/>
      <c r="S44" s="15"/>
      <c r="T44" s="15"/>
      <c r="U44" s="20" t="str">
        <f>IFERROR(__xludf.DUMMYFUNCTION("IFERROR(IF(ISTEXT(G44),TIMEVALUE(IF(REGEXMATCH(SUBSTITUTE(SUBSTITUTE(SUBSTITUTE(REGEXEXTRACT(G44,""(\d{1,2}(?:[:\.h\s]\d{2})?)""),""."","":"" ),""h"","":"" ),"" "","":"" ),""^\d{1,2}$""),SUBSTITUTE(SUBSTITUTE(SUBSTITUTE(REGEXEXTRACT(G44,""(\d{1,2}(?:[:\.h"&amp;"\s]\d{2})?)""),""."","":"" ),""h"","":"" ),"" "","":"" ) &amp; "":00"",SUBSTITUTE(SUBSTITUTE(SUBSTITUTE(REGEXEXTRACT(G44,""(\d{1,2}(?:[:\.h\s]\d{2})?)""),""."","":"" ),""h"","":"" ),"" "","":"" ))),IF(ISNUMBER(G44),MOD(G44,1),"""" )),"""" )"),"")</f>
        <v/>
      </c>
    </row>
    <row r="45" ht="15" customHeight="1" spans="1:21">
      <c r="A45" s="13">
        <v>20</v>
      </c>
      <c r="B45" s="14">
        <v>45689</v>
      </c>
      <c r="C45" s="16">
        <v>78784</v>
      </c>
      <c r="D45" s="16" t="s">
        <v>241</v>
      </c>
      <c r="E45" s="16" t="s">
        <v>242</v>
      </c>
      <c r="F45" s="16">
        <v>3490980818</v>
      </c>
      <c r="G45" s="16" t="s">
        <v>243</v>
      </c>
      <c r="H45" s="16" t="s">
        <v>71</v>
      </c>
      <c r="I45" s="16">
        <v>-56</v>
      </c>
      <c r="J45" s="16" t="s">
        <v>244</v>
      </c>
      <c r="K45" s="16" t="s">
        <v>35</v>
      </c>
      <c r="L45" s="16" t="s">
        <v>36</v>
      </c>
      <c r="M45" s="16" t="s">
        <v>37</v>
      </c>
      <c r="N45" s="18"/>
      <c r="O45" s="16"/>
      <c r="P45" s="16"/>
      <c r="Q45" s="16"/>
      <c r="R45" s="16"/>
      <c r="S45" s="16"/>
      <c r="T45" s="16"/>
      <c r="U45" s="23" t="str">
        <f>IFERROR(__xludf.DUMMYFUNCTION("IFERROR(IF(ISTEXT(G45),TIMEVALUE(IF(REGEXMATCH(SUBSTITUTE(SUBSTITUTE(SUBSTITUTE(REGEXEXTRACT(G45,""(\d{1,2}(?:[:\.h\s]\d{2})?)""),""."","":"" ),""h"","":"" ),"" "","":"" ),""^\d{1,2}$""),SUBSTITUTE(SUBSTITUTE(SUBSTITUTE(REGEXEXTRACT(G45,""(\d{1,2}(?:[:\.h"&amp;"\s]\d{2})?)""),""."","":"" ),""h"","":"" ),"" "","":"" ) &amp; "":00"",SUBSTITUTE(SUBSTITUTE(SUBSTITUTE(REGEXEXTRACT(G45,""(\d{1,2}(?:[:\.h\s]\d{2})?)""),""."","":"" ),""h"","":"" ),"" "","":"" ))),IF(ISNUMBER(G45),MOD(G45,1),"""" )),"""" )"),"")</f>
        <v/>
      </c>
    </row>
    <row r="46" ht="15" customHeight="1" spans="1:21">
      <c r="A46" s="13">
        <v>20</v>
      </c>
      <c r="B46" s="14">
        <v>45690</v>
      </c>
      <c r="C46" s="16">
        <v>78784</v>
      </c>
      <c r="D46" s="16" t="s">
        <v>245</v>
      </c>
      <c r="E46" s="16" t="s">
        <v>246</v>
      </c>
      <c r="F46" s="16">
        <v>3482746535</v>
      </c>
      <c r="G46" s="16" t="s">
        <v>247</v>
      </c>
      <c r="H46" s="16"/>
      <c r="I46" s="16" t="s">
        <v>42</v>
      </c>
      <c r="J46" s="16" t="s">
        <v>248</v>
      </c>
      <c r="K46" s="16" t="s">
        <v>249</v>
      </c>
      <c r="L46" s="16" t="s">
        <v>250</v>
      </c>
      <c r="M46" s="16" t="s">
        <v>251</v>
      </c>
      <c r="N46" s="18">
        <v>26930</v>
      </c>
      <c r="O46" s="16" t="s">
        <v>194</v>
      </c>
      <c r="P46" s="16"/>
      <c r="Q46" s="16"/>
      <c r="R46" s="16" t="s">
        <v>252</v>
      </c>
      <c r="S46" s="16"/>
      <c r="T46" s="16"/>
      <c r="U46" s="23" t="str">
        <f>IFERROR(__xludf.DUMMYFUNCTION("IFERROR(IF(ISTEXT(G46),TIMEVALUE(IF(REGEXMATCH(SUBSTITUTE(SUBSTITUTE(SUBSTITUTE(REGEXEXTRACT(G46,""(\d{1,2}(?:[:\.h\s]\d{2})?)""),""."","":"" ),""h"","":"" ),"" "","":"" ),""^\d{1,2}$""),SUBSTITUTE(SUBSTITUTE(SUBSTITUTE(REGEXEXTRACT(G46,""(\d{1,2}(?:[:\.h"&amp;"\s]\d{2})?)""),""."","":"" ),""h"","":"" ),"" "","":"" ) &amp; "":00"",SUBSTITUTE(SUBSTITUTE(SUBSTITUTE(REGEXEXTRACT(G46,""(\d{1,2}(?:[:\.h\s]\d{2})?)""),""."","":"" ),""h"","":"" ),"" "","":"" ))),IF(ISNUMBER(G46),MOD(G46,1),"""" )),"""" )"),"")</f>
        <v/>
      </c>
    </row>
    <row r="47" ht="15" customHeight="1" spans="1:21">
      <c r="A47" s="13">
        <v>21</v>
      </c>
      <c r="B47" s="14">
        <v>45717</v>
      </c>
      <c r="C47" s="15">
        <v>33115</v>
      </c>
      <c r="D47" s="15" t="s">
        <v>253</v>
      </c>
      <c r="E47" s="15" t="s">
        <v>254</v>
      </c>
      <c r="F47" s="15">
        <v>3920351935</v>
      </c>
      <c r="G47" s="15" t="s">
        <v>255</v>
      </c>
      <c r="H47" s="15" t="s">
        <v>78</v>
      </c>
      <c r="I47" s="15" t="s">
        <v>42</v>
      </c>
      <c r="J47" s="15" t="s">
        <v>256</v>
      </c>
      <c r="K47" s="15" t="s">
        <v>257</v>
      </c>
      <c r="L47" s="15" t="s">
        <v>95</v>
      </c>
      <c r="M47" s="15" t="s">
        <v>96</v>
      </c>
      <c r="N47" s="17">
        <v>29224</v>
      </c>
      <c r="O47" s="15" t="s">
        <v>258</v>
      </c>
      <c r="P47" s="15" t="s">
        <v>194</v>
      </c>
      <c r="Q47" s="15" t="s">
        <v>194</v>
      </c>
      <c r="R47" s="15" t="s">
        <v>259</v>
      </c>
      <c r="S47" s="15" t="s">
        <v>197</v>
      </c>
      <c r="T47" s="15"/>
      <c r="U47" s="20" t="str">
        <f>IFERROR(__xludf.DUMMYFUNCTION("IFERROR(IF(ISTEXT(G47),TIMEVALUE(IF(REGEXMATCH(SUBSTITUTE(SUBSTITUTE(SUBSTITUTE(REGEXEXTRACT(G47,""(\d{1,2}(?:[:\.h\s]\d{2})?)""),""."","":"" ),""h"","":"" ),"" "","":"" ),""^\d{1,2}$""),SUBSTITUTE(SUBSTITUTE(SUBSTITUTE(REGEXEXTRACT(G47,""(\d{1,2}(?:[:\.h"&amp;"\s]\d{2})?)""),""."","":"" ),""h"","":"" ),"" "","":"" ) &amp; "":00"",SUBSTITUTE(SUBSTITUTE(SUBSTITUTE(REGEXEXTRACT(G47,""(\d{1,2}(?:[:\.h\s]\d{2})?)""),""."","":"" ),""h"","":"" ),"" "","":"" ))),IF(ISNUMBER(G47),MOD(G47,1),"""" )),"""" )"),"")</f>
        <v/>
      </c>
    </row>
    <row r="48" ht="15" customHeight="1" spans="1:21">
      <c r="A48" s="13">
        <v>21</v>
      </c>
      <c r="B48" s="14">
        <v>45718</v>
      </c>
      <c r="C48" s="15">
        <v>33115</v>
      </c>
      <c r="D48" s="15" t="s">
        <v>260</v>
      </c>
      <c r="E48" s="15" t="s">
        <v>261</v>
      </c>
      <c r="F48" s="15">
        <v>3475254689</v>
      </c>
      <c r="G48" s="15" t="s">
        <v>262</v>
      </c>
      <c r="H48" s="15"/>
      <c r="I48" s="15" t="s">
        <v>42</v>
      </c>
      <c r="J48" s="15" t="s">
        <v>263</v>
      </c>
      <c r="K48" s="15" t="s">
        <v>264</v>
      </c>
      <c r="L48" s="15" t="s">
        <v>265</v>
      </c>
      <c r="M48" s="15" t="s">
        <v>266</v>
      </c>
      <c r="N48" s="17">
        <v>29519</v>
      </c>
      <c r="O48" s="15"/>
      <c r="P48" s="15" t="s">
        <v>194</v>
      </c>
      <c r="Q48" s="15" t="s">
        <v>194</v>
      </c>
      <c r="R48" s="15"/>
      <c r="S48" s="15" t="s">
        <v>197</v>
      </c>
      <c r="T48" s="15"/>
      <c r="U48" s="20" t="str">
        <f>IFERROR(__xludf.DUMMYFUNCTION("IFERROR(IF(ISTEXT(G48),TIMEVALUE(IF(REGEXMATCH(SUBSTITUTE(SUBSTITUTE(SUBSTITUTE(REGEXEXTRACT(G48,""(\d{1,2}(?:[:\.h\s]\d{2})?)""),""."","":"" ),""h"","":"" ),"" "","":"" ),""^\d{1,2}$""),SUBSTITUTE(SUBSTITUTE(SUBSTITUTE(REGEXEXTRACT(G48,""(\d{1,2}(?:[:\.h"&amp;"\s]\d{2})?)""),""."","":"" ),""h"","":"" ),"" "","":"" ) &amp; "":00"",SUBSTITUTE(SUBSTITUTE(SUBSTITUTE(REGEXEXTRACT(G48,""(\d{1,2}(?:[:\.h\s]\d{2})?)""),""."","":"" ),""h"","":"" ),"" "","":"" ))),IF(ISNUMBER(G48),MOD(G48,1),"""" )),"""" )"),"")</f>
        <v/>
      </c>
    </row>
    <row r="49" ht="15" customHeight="1" spans="1:21">
      <c r="A49" s="13">
        <v>21</v>
      </c>
      <c r="B49" s="14">
        <v>45719</v>
      </c>
      <c r="C49" s="15">
        <v>33115</v>
      </c>
      <c r="D49" s="15" t="s">
        <v>253</v>
      </c>
      <c r="E49" s="15" t="s">
        <v>267</v>
      </c>
      <c r="F49" s="15"/>
      <c r="G49" s="15"/>
      <c r="H49" s="15"/>
      <c r="I49" s="15" t="s">
        <v>42</v>
      </c>
      <c r="J49" s="15"/>
      <c r="K49" s="15" t="s">
        <v>268</v>
      </c>
      <c r="L49" s="15" t="s">
        <v>109</v>
      </c>
      <c r="M49" s="15" t="s">
        <v>96</v>
      </c>
      <c r="N49" s="17">
        <v>42302</v>
      </c>
      <c r="O49" s="15" t="s">
        <v>258</v>
      </c>
      <c r="P49" s="15" t="s">
        <v>194</v>
      </c>
      <c r="Q49" s="15" t="s">
        <v>194</v>
      </c>
      <c r="R49" s="15"/>
      <c r="S49" s="15" t="s">
        <v>197</v>
      </c>
      <c r="T49" s="15"/>
      <c r="U49" s="20" t="str">
        <f>IFERROR(__xludf.DUMMYFUNCTION("IFERROR(IF(ISTEXT(G49),TIMEVALUE(IF(REGEXMATCH(SUBSTITUTE(SUBSTITUTE(SUBSTITUTE(REGEXEXTRACT(G49,""(\d{1,2}(?:[:\.h\s]\d{2})?)""),""."","":"" ),""h"","":"" ),"" "","":"" ),""^\d{1,2}$""),SUBSTITUTE(SUBSTITUTE(SUBSTITUTE(REGEXEXTRACT(G49,""(\d{1,2}(?:[:\.h"&amp;"\s]\d{2})?)""),""."","":"" ),""h"","":"" ),"" "","":"" ) &amp; "":00"",SUBSTITUTE(SUBSTITUTE(SUBSTITUTE(REGEXEXTRACT(G49,""(\d{1,2}(?:[:\.h\s]\d{2})?)""),""."","":"" ),""h"","":"" ),"" "","":"" ))),IF(ISNUMBER(G49),MOD(G49,1),"""" )),"""" )"),"")</f>
        <v/>
      </c>
    </row>
    <row r="50" ht="15" customHeight="1" spans="1:21">
      <c r="A50" s="13">
        <v>22</v>
      </c>
      <c r="B50" s="14">
        <v>45717</v>
      </c>
      <c r="C50" s="16">
        <v>33333</v>
      </c>
      <c r="D50" s="16" t="s">
        <v>103</v>
      </c>
      <c r="E50" s="16" t="s">
        <v>269</v>
      </c>
      <c r="F50" s="16"/>
      <c r="G50" s="16"/>
      <c r="H50" s="16" t="s">
        <v>78</v>
      </c>
      <c r="I50" s="16">
        <v>609</v>
      </c>
      <c r="J50" s="16" t="s">
        <v>270</v>
      </c>
      <c r="K50" s="16" t="s">
        <v>271</v>
      </c>
      <c r="L50" s="16" t="s">
        <v>45</v>
      </c>
      <c r="M50" s="16" t="s">
        <v>46</v>
      </c>
      <c r="N50" s="18">
        <v>40173</v>
      </c>
      <c r="O50" s="16"/>
      <c r="P50" s="16"/>
      <c r="Q50" s="16"/>
      <c r="R50" s="16"/>
      <c r="S50" s="16"/>
      <c r="T50" s="16"/>
      <c r="U50" s="23" t="str">
        <f>IFERROR(__xludf.DUMMYFUNCTION("IFERROR(IF(ISTEXT(G50),TIMEVALUE(IF(REGEXMATCH(SUBSTITUTE(SUBSTITUTE(SUBSTITUTE(REGEXEXTRACT(G50,""(\d{1,2}(?:[:\.h\s]\d{2})?)""),""."","":"" ),""h"","":"" ),"" "","":"" ),""^\d{1,2}$""),SUBSTITUTE(SUBSTITUTE(SUBSTITUTE(REGEXEXTRACT(G50,""(\d{1,2}(?:[:\.h"&amp;"\s]\d{2})?)""),""."","":"" ),""h"","":"" ),"" "","":"" ) &amp; "":00"",SUBSTITUTE(SUBSTITUTE(SUBSTITUTE(REGEXEXTRACT(G50,""(\d{1,2}(?:[:\.h\s]\d{2})?)""),""."","":"" ),""h"","":"" ),"" "","":"" ))),IF(ISNUMBER(G50),MOD(G50,1),"""" )),"""" )"),"")</f>
        <v/>
      </c>
    </row>
    <row r="51" ht="15" customHeight="1" spans="1:21">
      <c r="A51" s="13">
        <v>22</v>
      </c>
      <c r="B51" s="14">
        <v>45718</v>
      </c>
      <c r="C51" s="16">
        <v>33333</v>
      </c>
      <c r="D51" s="16" t="s">
        <v>272</v>
      </c>
      <c r="E51" s="16" t="s">
        <v>273</v>
      </c>
      <c r="F51" s="16">
        <v>3349044753</v>
      </c>
      <c r="G51" s="16" t="s">
        <v>274</v>
      </c>
      <c r="H51" s="16"/>
      <c r="I51" s="16" t="s">
        <v>42</v>
      </c>
      <c r="J51" s="16"/>
      <c r="K51" s="16" t="s">
        <v>275</v>
      </c>
      <c r="L51" s="16" t="s">
        <v>45</v>
      </c>
      <c r="M51" s="16" t="s">
        <v>46</v>
      </c>
      <c r="N51" s="18">
        <v>38584</v>
      </c>
      <c r="O51" s="16"/>
      <c r="P51" s="16"/>
      <c r="Q51" s="16"/>
      <c r="R51" s="16"/>
      <c r="S51" s="16"/>
      <c r="T51" s="16"/>
      <c r="U51" s="23" t="str">
        <f>IFERROR(__xludf.DUMMYFUNCTION("IFERROR(IF(ISTEXT(G51),TIMEVALUE(IF(REGEXMATCH(SUBSTITUTE(SUBSTITUTE(SUBSTITUTE(REGEXEXTRACT(G51,""(\d{1,2}(?:[:\.h\s]\d{2})?)""),""."","":"" ),""h"","":"" ),"" "","":"" ),""^\d{1,2}$""),SUBSTITUTE(SUBSTITUTE(SUBSTITUTE(REGEXEXTRACT(G51,""(\d{1,2}(?:[:\.h"&amp;"\s]\d{2})?)""),""."","":"" ),""h"","":"" ),"" "","":"" ) &amp; "":00"",SUBSTITUTE(SUBSTITUTE(SUBSTITUTE(REGEXEXTRACT(G51,""(\d{1,2}(?:[:\.h\s]\d{2})?)""),""."","":"" ),""h"","":"" ),"" "","":"" ))),IF(ISNUMBER(G51),MOD(G51,1),"""" )),"""" )"),"")</f>
        <v/>
      </c>
    </row>
    <row r="52" ht="15" customHeight="1" spans="1:21">
      <c r="A52" s="13">
        <v>22</v>
      </c>
      <c r="B52" s="14">
        <v>45719</v>
      </c>
      <c r="C52" s="16">
        <v>33333</v>
      </c>
      <c r="D52" s="16" t="s">
        <v>272</v>
      </c>
      <c r="E52" s="16" t="s">
        <v>276</v>
      </c>
      <c r="F52" s="16"/>
      <c r="G52" s="16"/>
      <c r="H52" s="16"/>
      <c r="I52" s="16" t="s">
        <v>42</v>
      </c>
      <c r="J52" s="16"/>
      <c r="K52" s="16" t="s">
        <v>277</v>
      </c>
      <c r="L52" s="16" t="s">
        <v>45</v>
      </c>
      <c r="M52" s="16" t="s">
        <v>46</v>
      </c>
      <c r="N52" s="18">
        <v>40460</v>
      </c>
      <c r="O52" s="16"/>
      <c r="P52" s="16"/>
      <c r="Q52" s="16"/>
      <c r="R52" s="16"/>
      <c r="S52" s="16"/>
      <c r="T52" s="16"/>
      <c r="U52" s="23" t="str">
        <f>IFERROR(__xludf.DUMMYFUNCTION("IFERROR(IF(ISTEXT(G52),TIMEVALUE(IF(REGEXMATCH(SUBSTITUTE(SUBSTITUTE(SUBSTITUTE(REGEXEXTRACT(G52,""(\d{1,2}(?:[:\.h\s]\d{2})?)""),""."","":"" ),""h"","":"" ),"" "","":"" ),""^\d{1,2}$""),SUBSTITUTE(SUBSTITUTE(SUBSTITUTE(REGEXEXTRACT(G52,""(\d{1,2}(?:[:\.h"&amp;"\s]\d{2})?)""),""."","":"" ),""h"","":"" ),"" "","":"" ) &amp; "":00"",SUBSTITUTE(SUBSTITUTE(SUBSTITUTE(REGEXEXTRACT(G52,""(\d{1,2}(?:[:\.h\s]\d{2})?)""),""."","":"" ),""h"","":"" ),"" "","":"" ))),IF(ISNUMBER(G52),MOD(G52,1),"""" )),"""" )"),"")</f>
        <v/>
      </c>
    </row>
    <row r="53" ht="15" customHeight="1" spans="1:21">
      <c r="A53" s="13">
        <v>23</v>
      </c>
      <c r="B53" s="14">
        <v>45717</v>
      </c>
      <c r="C53" s="15">
        <v>38649</v>
      </c>
      <c r="D53" s="15" t="s">
        <v>278</v>
      </c>
      <c r="E53" s="15" t="s">
        <v>86</v>
      </c>
      <c r="F53" s="15">
        <v>3807566653</v>
      </c>
      <c r="G53" s="15" t="s">
        <v>279</v>
      </c>
      <c r="H53" s="15" t="s">
        <v>78</v>
      </c>
      <c r="I53" s="15">
        <v>359</v>
      </c>
      <c r="J53" s="15" t="s">
        <v>280</v>
      </c>
      <c r="K53" s="15" t="s">
        <v>281</v>
      </c>
      <c r="L53" s="15" t="s">
        <v>282</v>
      </c>
      <c r="M53" s="15" t="s">
        <v>83</v>
      </c>
      <c r="N53" s="17">
        <v>23438</v>
      </c>
      <c r="O53" s="15"/>
      <c r="P53" s="15"/>
      <c r="Q53" s="15"/>
      <c r="R53" s="15" t="s">
        <v>283</v>
      </c>
      <c r="S53" s="15"/>
      <c r="T53" s="15"/>
      <c r="U53" s="20" t="str">
        <f>IFERROR(__xludf.DUMMYFUNCTION("IFERROR(IF(ISTEXT(G53),TIMEVALUE(IF(REGEXMATCH(SUBSTITUTE(SUBSTITUTE(SUBSTITUTE(REGEXEXTRACT(G53,""(\d{1,2}(?:[:\.h\s]\d{2})?)""),""."","":"" ),""h"","":"" ),"" "","":"" ),""^\d{1,2}$""),SUBSTITUTE(SUBSTITUTE(SUBSTITUTE(REGEXEXTRACT(G53,""(\d{1,2}(?:[:\.h"&amp;"\s]\d{2})?)""),""."","":"" ),""h"","":"" ),"" "","":"" ) &amp; "":00"",SUBSTITUTE(SUBSTITUTE(SUBSTITUTE(REGEXEXTRACT(G53,""(\d{1,2}(?:[:\.h\s]\d{2})?)""),""."","":"" ),""h"","":"" ),"" "","":"" ))),IF(ISNUMBER(G53),MOD(G53,1),"""" )),"""" )"),"")</f>
        <v/>
      </c>
    </row>
    <row r="54" ht="15" customHeight="1" spans="1:21">
      <c r="A54" s="13">
        <v>23</v>
      </c>
      <c r="B54" s="14">
        <v>45718</v>
      </c>
      <c r="C54" s="15">
        <v>38649</v>
      </c>
      <c r="D54" s="15" t="s">
        <v>278</v>
      </c>
      <c r="E54" s="15" t="s">
        <v>284</v>
      </c>
      <c r="F54" s="15">
        <v>3297010966</v>
      </c>
      <c r="G54" s="15" t="s">
        <v>285</v>
      </c>
      <c r="H54" s="15"/>
      <c r="I54" s="15">
        <v>359</v>
      </c>
      <c r="J54" s="15" t="s">
        <v>280</v>
      </c>
      <c r="K54" s="15" t="s">
        <v>286</v>
      </c>
      <c r="L54" s="15" t="s">
        <v>287</v>
      </c>
      <c r="M54" s="15" t="s">
        <v>219</v>
      </c>
      <c r="N54" s="17">
        <v>33664</v>
      </c>
      <c r="O54" s="15"/>
      <c r="P54" s="15"/>
      <c r="Q54" s="15"/>
      <c r="R54" s="15"/>
      <c r="S54" s="15"/>
      <c r="T54" s="15"/>
      <c r="U54" s="20" t="str">
        <f>IFERROR(__xludf.DUMMYFUNCTION("IFERROR(IF(ISTEXT(G54),TIMEVALUE(IF(REGEXMATCH(SUBSTITUTE(SUBSTITUTE(SUBSTITUTE(REGEXEXTRACT(G54,""(\d{1,2}(?:[:\.h\s]\d{2})?)""),""."","":"" ),""h"","":"" ),"" "","":"" ),""^\d{1,2}$""),SUBSTITUTE(SUBSTITUTE(SUBSTITUTE(REGEXEXTRACT(G54,""(\d{1,2}(?:[:\.h"&amp;"\s]\d{2})?)""),""."","":"" ),""h"","":"" ),"" "","":"" ) &amp; "":00"",SUBSTITUTE(SUBSTITUTE(SUBSTITUTE(REGEXEXTRACT(G54,""(\d{1,2}(?:[:\.h\s]\d{2})?)""),""."","":"" ),""h"","":"" ),"" "","":"" ))),IF(ISNUMBER(G54),MOD(G54,1),"""" )),"""" )"),"")</f>
        <v/>
      </c>
    </row>
    <row r="55" ht="15" customHeight="1" spans="1:21">
      <c r="A55" s="13">
        <v>23</v>
      </c>
      <c r="B55" s="14">
        <v>45719</v>
      </c>
      <c r="C55" s="15">
        <v>38649</v>
      </c>
      <c r="D55" s="15" t="s">
        <v>288</v>
      </c>
      <c r="E55" s="15" t="s">
        <v>86</v>
      </c>
      <c r="F55" s="15">
        <v>3276617524</v>
      </c>
      <c r="G55" s="15"/>
      <c r="H55" s="15"/>
      <c r="I55" s="15">
        <v>59</v>
      </c>
      <c r="J55" s="15" t="s">
        <v>280</v>
      </c>
      <c r="K55" s="15" t="s">
        <v>289</v>
      </c>
      <c r="L55" s="15" t="s">
        <v>218</v>
      </c>
      <c r="M55" s="15" t="s">
        <v>219</v>
      </c>
      <c r="N55" s="17">
        <v>43179</v>
      </c>
      <c r="O55" s="15"/>
      <c r="P55" s="15"/>
      <c r="Q55" s="15"/>
      <c r="R55" s="15"/>
      <c r="S55" s="15"/>
      <c r="T55" s="15"/>
      <c r="U55" s="20" t="str">
        <f>IFERROR(__xludf.DUMMYFUNCTION("IFERROR(IF(ISTEXT(G55),TIMEVALUE(IF(REGEXMATCH(SUBSTITUTE(SUBSTITUTE(SUBSTITUTE(REGEXEXTRACT(G55,""(\d{1,2}(?:[:\.h\s]\d{2})?)""),""."","":"" ),""h"","":"" ),"" "","":"" ),""^\d{1,2}$""),SUBSTITUTE(SUBSTITUTE(SUBSTITUTE(REGEXEXTRACT(G55,""(\d{1,2}(?:[:\.h"&amp;"\s]\d{2})?)""),""."","":"" ),""h"","":"" ),"" "","":"" ) &amp; "":00"",SUBSTITUTE(SUBSTITUTE(SUBSTITUTE(REGEXEXTRACT(G55,""(\d{1,2}(?:[:\.h\s]\d{2})?)""),""."","":"" ),""h"","":"" ),"" "","":"" ))),IF(ISNUMBER(G55),MOD(G55,1),"""" )),"""" )"),"")</f>
        <v/>
      </c>
    </row>
    <row r="56" ht="15" customHeight="1" spans="1:21">
      <c r="A56" s="13">
        <v>24</v>
      </c>
      <c r="B56" s="14">
        <v>45717</v>
      </c>
      <c r="C56" s="16">
        <v>38780</v>
      </c>
      <c r="D56" s="16" t="s">
        <v>290</v>
      </c>
      <c r="E56" s="16" t="s">
        <v>291</v>
      </c>
      <c r="F56" s="16">
        <v>3477510469</v>
      </c>
      <c r="G56" s="16" t="s">
        <v>292</v>
      </c>
      <c r="H56" s="16" t="s">
        <v>78</v>
      </c>
      <c r="I56" s="16" t="s">
        <v>42</v>
      </c>
      <c r="J56" s="16" t="s">
        <v>293</v>
      </c>
      <c r="K56" s="16" t="s">
        <v>294</v>
      </c>
      <c r="L56" s="16" t="s">
        <v>295</v>
      </c>
      <c r="M56" s="16" t="s">
        <v>115</v>
      </c>
      <c r="N56" s="18">
        <v>28639</v>
      </c>
      <c r="O56" s="16"/>
      <c r="P56" s="16" t="s">
        <v>125</v>
      </c>
      <c r="Q56" s="16"/>
      <c r="R56" s="16" t="s">
        <v>296</v>
      </c>
      <c r="S56" s="16"/>
      <c r="T56" s="16"/>
      <c r="U56" s="23" t="str">
        <f>IFERROR(__xludf.DUMMYFUNCTION("IFERROR(IF(ISTEXT(G56),TIMEVALUE(IF(REGEXMATCH(SUBSTITUTE(SUBSTITUTE(SUBSTITUTE(REGEXEXTRACT(G56,""(\d{1,2}(?:[:\.h\s]\d{2})?)""),""."","":"" ),""h"","":"" ),"" "","":"" ),""^\d{1,2}$""),SUBSTITUTE(SUBSTITUTE(SUBSTITUTE(REGEXEXTRACT(G56,""(\d{1,2}(?:[:\.h"&amp;"\s]\d{2})?)""),""."","":"" ),""h"","":"" ),"" "","":"" ) &amp; "":00"",SUBSTITUTE(SUBSTITUTE(SUBSTITUTE(REGEXEXTRACT(G56,""(\d{1,2}(?:[:\.h\s]\d{2})?)""),""."","":"" ),""h"","":"" ),"" "","":"" ))),IF(ISNUMBER(G56),MOD(G56,1),"""" )),"""" )"),"")</f>
        <v/>
      </c>
    </row>
    <row r="57" ht="15" customHeight="1" spans="1:21">
      <c r="A57" s="13">
        <v>24</v>
      </c>
      <c r="B57" s="14">
        <v>45718</v>
      </c>
      <c r="C57" s="16">
        <v>38780</v>
      </c>
      <c r="D57" s="16" t="s">
        <v>290</v>
      </c>
      <c r="E57" s="16" t="s">
        <v>297</v>
      </c>
      <c r="F57" s="16"/>
      <c r="G57" s="16" t="s">
        <v>292</v>
      </c>
      <c r="H57" s="16"/>
      <c r="I57" s="16" t="s">
        <v>42</v>
      </c>
      <c r="J57" s="16"/>
      <c r="K57" s="16" t="s">
        <v>298</v>
      </c>
      <c r="L57" s="16" t="s">
        <v>295</v>
      </c>
      <c r="M57" s="16" t="s">
        <v>115</v>
      </c>
      <c r="N57" s="18">
        <v>41015</v>
      </c>
      <c r="O57" s="16"/>
      <c r="P57" s="16" t="s">
        <v>125</v>
      </c>
      <c r="Q57" s="16"/>
      <c r="R57" s="16" t="s">
        <v>296</v>
      </c>
      <c r="S57" s="16"/>
      <c r="T57" s="16"/>
      <c r="U57" s="23" t="str">
        <f>IFERROR(__xludf.DUMMYFUNCTION("IFERROR(IF(ISTEXT(G57),TIMEVALUE(IF(REGEXMATCH(SUBSTITUTE(SUBSTITUTE(SUBSTITUTE(REGEXEXTRACT(G57,""(\d{1,2}(?:[:\.h\s]\d{2})?)""),""."","":"" ),""h"","":"" ),"" "","":"" ),""^\d{1,2}$""),SUBSTITUTE(SUBSTITUTE(SUBSTITUTE(REGEXEXTRACT(G57,""(\d{1,2}(?:[:\.h"&amp;"\s]\d{2})?)""),""."","":"" ),""h"","":"" ),"" "","":"" ) &amp; "":00"",SUBSTITUTE(SUBSTITUTE(SUBSTITUTE(REGEXEXTRACT(G57,""(\d{1,2}(?:[:\.h\s]\d{2})?)""),""."","":"" ),""h"","":"" ),"" "","":"" ))),IF(ISNUMBER(G57),MOD(G57,1),"""" )),"""" )"),"")</f>
        <v/>
      </c>
    </row>
    <row r="58" ht="15" customHeight="1" spans="1:21">
      <c r="A58" s="13">
        <v>24</v>
      </c>
      <c r="B58" s="14">
        <v>45719</v>
      </c>
      <c r="C58" s="16">
        <v>38780</v>
      </c>
      <c r="D58" s="16" t="s">
        <v>290</v>
      </c>
      <c r="E58" s="16" t="s">
        <v>299</v>
      </c>
      <c r="F58" s="16"/>
      <c r="G58" s="16" t="s">
        <v>292</v>
      </c>
      <c r="H58" s="16"/>
      <c r="I58" s="16" t="s">
        <v>42</v>
      </c>
      <c r="J58" s="16"/>
      <c r="K58" s="16" t="s">
        <v>300</v>
      </c>
      <c r="L58" s="16" t="s">
        <v>295</v>
      </c>
      <c r="M58" s="16" t="s">
        <v>115</v>
      </c>
      <c r="N58" s="18">
        <v>39837</v>
      </c>
      <c r="O58" s="16"/>
      <c r="P58" s="16" t="s">
        <v>125</v>
      </c>
      <c r="Q58" s="16"/>
      <c r="R58" s="16" t="s">
        <v>296</v>
      </c>
      <c r="S58" s="16"/>
      <c r="T58" s="16"/>
      <c r="U58" s="23" t="str">
        <f>IFERROR(__xludf.DUMMYFUNCTION("IFERROR(IF(ISTEXT(G58),TIMEVALUE(IF(REGEXMATCH(SUBSTITUTE(SUBSTITUTE(SUBSTITUTE(REGEXEXTRACT(G58,""(\d{1,2}(?:[:\.h\s]\d{2})?)""),""."","":"" ),""h"","":"" ),"" "","":"" ),""^\d{1,2}$""),SUBSTITUTE(SUBSTITUTE(SUBSTITUTE(REGEXEXTRACT(G58,""(\d{1,2}(?:[:\.h"&amp;"\s]\d{2})?)""),""."","":"" ),""h"","":"" ),"" "","":"" ) &amp; "":00"",SUBSTITUTE(SUBSTITUTE(SUBSTITUTE(REGEXEXTRACT(G58,""(\d{1,2}(?:[:\.h\s]\d{2})?)""),""."","":"" ),""h"","":"" ),"" "","":"" ))),IF(ISNUMBER(G58),MOD(G58,1),"""" )),"""" )"),"")</f>
        <v/>
      </c>
    </row>
    <row r="59" ht="15" customHeight="1" spans="1:21">
      <c r="A59" s="13">
        <v>25</v>
      </c>
      <c r="B59" s="14">
        <v>45717</v>
      </c>
      <c r="C59" s="15">
        <v>39026</v>
      </c>
      <c r="D59" s="15" t="s">
        <v>301</v>
      </c>
      <c r="E59" s="15" t="s">
        <v>302</v>
      </c>
      <c r="F59" s="15">
        <v>3939029164</v>
      </c>
      <c r="G59" s="15" t="s">
        <v>303</v>
      </c>
      <c r="H59" s="15" t="s">
        <v>78</v>
      </c>
      <c r="I59" s="15" t="s">
        <v>42</v>
      </c>
      <c r="J59" s="15" t="s">
        <v>27</v>
      </c>
      <c r="K59" s="15" t="s">
        <v>304</v>
      </c>
      <c r="L59" s="15" t="s">
        <v>305</v>
      </c>
      <c r="M59" s="15" t="s">
        <v>77</v>
      </c>
      <c r="N59" s="17">
        <v>27362</v>
      </c>
      <c r="O59" s="15"/>
      <c r="P59" s="15" t="s">
        <v>197</v>
      </c>
      <c r="Q59" s="15"/>
      <c r="R59" s="15" t="s">
        <v>306</v>
      </c>
      <c r="S59" s="15" t="s">
        <v>176</v>
      </c>
      <c r="T59" s="15"/>
      <c r="U59" s="20" t="str">
        <f>IFERROR(__xludf.DUMMYFUNCTION("IFERROR(IF(ISTEXT(G59),TIMEVALUE(IF(REGEXMATCH(SUBSTITUTE(SUBSTITUTE(SUBSTITUTE(REGEXEXTRACT(G59,""(\d{1,2}(?:[:\.h\s]\d{2})?)""),""."","":"" ),""h"","":"" ),"" "","":"" ),""^\d{1,2}$""),SUBSTITUTE(SUBSTITUTE(SUBSTITUTE(REGEXEXTRACT(G59,""(\d{1,2}(?:[:\.h"&amp;"\s]\d{2})?)""),""."","":"" ),""h"","":"" ),"" "","":"" ) &amp; "":00"",SUBSTITUTE(SUBSTITUTE(SUBSTITUTE(REGEXEXTRACT(G59,""(\d{1,2}(?:[:\.h\s]\d{2})?)""),""."","":"" ),""h"","":"" ),"" "","":"" ))),IF(ISNUMBER(G59),MOD(G59,1),"""" )),"""" )"),"")</f>
        <v/>
      </c>
    </row>
    <row r="60" ht="15" customHeight="1" spans="1:21">
      <c r="A60" s="13">
        <v>25</v>
      </c>
      <c r="B60" s="14">
        <v>45718</v>
      </c>
      <c r="C60" s="15">
        <v>39026</v>
      </c>
      <c r="D60" s="15" t="s">
        <v>307</v>
      </c>
      <c r="E60" s="15" t="s">
        <v>308</v>
      </c>
      <c r="F60" s="15">
        <v>3471802450</v>
      </c>
      <c r="G60" s="15" t="s">
        <v>309</v>
      </c>
      <c r="H60" s="15"/>
      <c r="I60" s="15" t="s">
        <v>42</v>
      </c>
      <c r="J60" s="15"/>
      <c r="K60" s="15" t="s">
        <v>310</v>
      </c>
      <c r="L60" s="15" t="s">
        <v>45</v>
      </c>
      <c r="M60" s="15" t="s">
        <v>46</v>
      </c>
      <c r="N60" s="17">
        <v>27728</v>
      </c>
      <c r="O60" s="15"/>
      <c r="P60" s="15" t="s">
        <v>194</v>
      </c>
      <c r="Q60" s="15"/>
      <c r="R60" s="15"/>
      <c r="S60" s="15" t="s">
        <v>176</v>
      </c>
      <c r="T60" s="15"/>
      <c r="U60" s="20" t="str">
        <f>IFERROR(__xludf.DUMMYFUNCTION("IFERROR(IF(ISTEXT(G60),TIMEVALUE(IF(REGEXMATCH(SUBSTITUTE(SUBSTITUTE(SUBSTITUTE(REGEXEXTRACT(G60,""(\d{1,2}(?:[:\.h\s]\d{2})?)""),""."","":"" ),""h"","":"" ),"" "","":"" ),""^\d{1,2}$""),SUBSTITUTE(SUBSTITUTE(SUBSTITUTE(REGEXEXTRACT(G60,""(\d{1,2}(?:[:\.h"&amp;"\s]\d{2})?)""),""."","":"" ),""h"","":"" ),"" "","":"" ) &amp; "":00"",SUBSTITUTE(SUBSTITUTE(SUBSTITUTE(REGEXEXTRACT(G60,""(\d{1,2}(?:[:\.h\s]\d{2})?)""),""."","":"" ),""h"","":"" ),"" "","":"" ))),IF(ISNUMBER(G60),MOD(G60,1),"""" )),"""" )"),"")</f>
        <v/>
      </c>
    </row>
    <row r="61" ht="15" customHeight="1" spans="1:21">
      <c r="A61" s="13">
        <v>25</v>
      </c>
      <c r="B61" s="14">
        <v>45719</v>
      </c>
      <c r="C61" s="15">
        <v>39026</v>
      </c>
      <c r="D61" s="15" t="s">
        <v>301</v>
      </c>
      <c r="E61" s="15" t="s">
        <v>311</v>
      </c>
      <c r="F61" s="15"/>
      <c r="G61" s="15" t="s">
        <v>303</v>
      </c>
      <c r="H61" s="15"/>
      <c r="I61" s="15" t="s">
        <v>42</v>
      </c>
      <c r="J61" s="15"/>
      <c r="K61" s="15" t="s">
        <v>312</v>
      </c>
      <c r="L61" s="15" t="s">
        <v>45</v>
      </c>
      <c r="M61" s="15" t="s">
        <v>46</v>
      </c>
      <c r="N61" s="17">
        <v>39745</v>
      </c>
      <c r="O61" s="15"/>
      <c r="P61" s="15" t="s">
        <v>194</v>
      </c>
      <c r="Q61" s="15"/>
      <c r="R61" s="15"/>
      <c r="S61" s="15" t="s">
        <v>176</v>
      </c>
      <c r="T61" s="15"/>
      <c r="U61" s="20" t="str">
        <f>IFERROR(__xludf.DUMMYFUNCTION("IFERROR(IF(ISTEXT(G61),TIMEVALUE(IF(REGEXMATCH(SUBSTITUTE(SUBSTITUTE(SUBSTITUTE(REGEXEXTRACT(G61,""(\d{1,2}(?:[:\.h\s]\d{2})?)""),""."","":"" ),""h"","":"" ),"" "","":"" ),""^\d{1,2}$""),SUBSTITUTE(SUBSTITUTE(SUBSTITUTE(REGEXEXTRACT(G61,""(\d{1,2}(?:[:\.h"&amp;"\s]\d{2})?)""),""."","":"" ),""h"","":"" ),"" "","":"" ) &amp; "":00"",SUBSTITUTE(SUBSTITUTE(SUBSTITUTE(REGEXEXTRACT(G61,""(\d{1,2}(?:[:\.h\s]\d{2})?)""),""."","":"" ),""h"","":"" ),"" "","":"" ))),IF(ISNUMBER(G61),MOD(G61,1),"""" )),"""" )"),"")</f>
        <v/>
      </c>
    </row>
    <row r="62" ht="15" customHeight="1" spans="1:21">
      <c r="A62" s="13">
        <v>26</v>
      </c>
      <c r="B62" s="14">
        <v>45717</v>
      </c>
      <c r="C62" s="16">
        <v>39030</v>
      </c>
      <c r="D62" s="16" t="s">
        <v>313</v>
      </c>
      <c r="E62" s="16" t="s">
        <v>314</v>
      </c>
      <c r="F62" s="16">
        <v>3333910607</v>
      </c>
      <c r="G62" s="16" t="s">
        <v>315</v>
      </c>
      <c r="H62" s="16" t="s">
        <v>78</v>
      </c>
      <c r="I62" s="16" t="s">
        <v>42</v>
      </c>
      <c r="J62" s="16"/>
      <c r="K62" s="16" t="s">
        <v>316</v>
      </c>
      <c r="L62" s="16" t="s">
        <v>109</v>
      </c>
      <c r="M62" s="16" t="s">
        <v>96</v>
      </c>
      <c r="N62" s="18">
        <v>23793</v>
      </c>
      <c r="O62" s="16" t="s">
        <v>317</v>
      </c>
      <c r="P62" s="16" t="s">
        <v>318</v>
      </c>
      <c r="Q62" s="16" t="s">
        <v>197</v>
      </c>
      <c r="R62" s="16"/>
      <c r="S62" s="16"/>
      <c r="T62" s="16"/>
      <c r="U62" s="23" t="str">
        <f>IFERROR(__xludf.DUMMYFUNCTION("IFERROR(IF(ISTEXT(G62),TIMEVALUE(IF(REGEXMATCH(SUBSTITUTE(SUBSTITUTE(SUBSTITUTE(REGEXEXTRACT(G62,""(\d{1,2}(?:[:\.h\s]\d{2})?)""),""."","":"" ),""h"","":"" ),"" "","":"" ),""^\d{1,2}$""),SUBSTITUTE(SUBSTITUTE(SUBSTITUTE(REGEXEXTRACT(G62,""(\d{1,2}(?:[:\.h"&amp;"\s]\d{2})?)""),""."","":"" ),""h"","":"" ),"" "","":"" ) &amp; "":00"",SUBSTITUTE(SUBSTITUTE(SUBSTITUTE(REGEXEXTRACT(G62,""(\d{1,2}(?:[:\.h\s]\d{2})?)""),""."","":"" ),""h"","":"" ),"" "","":"" ))),IF(ISNUMBER(G62),MOD(G62,1),"""" )),"""" )"),"")</f>
        <v/>
      </c>
    </row>
    <row r="63" ht="15" customHeight="1" spans="1:21">
      <c r="A63" s="13">
        <v>26</v>
      </c>
      <c r="B63" s="14">
        <v>45718</v>
      </c>
      <c r="C63" s="16">
        <v>39030</v>
      </c>
      <c r="D63" s="16" t="s">
        <v>319</v>
      </c>
      <c r="E63" s="16" t="s">
        <v>320</v>
      </c>
      <c r="F63" s="16">
        <v>3357699066</v>
      </c>
      <c r="G63" s="16" t="s">
        <v>321</v>
      </c>
      <c r="H63" s="16"/>
      <c r="I63" s="16" t="s">
        <v>42</v>
      </c>
      <c r="J63" s="16"/>
      <c r="K63" s="16" t="s">
        <v>322</v>
      </c>
      <c r="L63" s="16" t="s">
        <v>218</v>
      </c>
      <c r="M63" s="16" t="s">
        <v>219</v>
      </c>
      <c r="N63" s="18">
        <v>23375</v>
      </c>
      <c r="O63" s="16"/>
      <c r="P63" s="16" t="s">
        <v>318</v>
      </c>
      <c r="Q63" s="16" t="s">
        <v>197</v>
      </c>
      <c r="R63" s="16" t="s">
        <v>323</v>
      </c>
      <c r="S63" s="16"/>
      <c r="T63" s="16"/>
      <c r="U63" s="23" t="str">
        <f>IFERROR(__xludf.DUMMYFUNCTION("IFERROR(IF(ISTEXT(G63),TIMEVALUE(IF(REGEXMATCH(SUBSTITUTE(SUBSTITUTE(SUBSTITUTE(REGEXEXTRACT(G63,""(\d{1,2}(?:[:\.h\s]\d{2})?)""),""."","":"" ),""h"","":"" ),"" "","":"" ),""^\d{1,2}$""),SUBSTITUTE(SUBSTITUTE(SUBSTITUTE(REGEXEXTRACT(G63,""(\d{1,2}(?:[:\.h"&amp;"\s]\d{2})?)""),""."","":"" ),""h"","":"" ),"" "","":"" ) &amp; "":00"",SUBSTITUTE(SUBSTITUTE(SUBSTITUTE(REGEXEXTRACT(G63,""(\d{1,2}(?:[:\.h\s]\d{2})?)""),""."","":"" ),""h"","":"" ),"" "","":"" ))),IF(ISNUMBER(G63),MOD(G63,1),"""" )),"""" )"),"")</f>
        <v/>
      </c>
    </row>
    <row r="64" ht="15" customHeight="1" spans="1:21">
      <c r="A64" s="13">
        <v>26</v>
      </c>
      <c r="B64" s="14">
        <v>45719</v>
      </c>
      <c r="C64" s="16">
        <v>39030</v>
      </c>
      <c r="D64" s="16" t="s">
        <v>324</v>
      </c>
      <c r="E64" s="16" t="s">
        <v>325</v>
      </c>
      <c r="F64" s="16">
        <v>3284118758</v>
      </c>
      <c r="G64" s="16" t="s">
        <v>326</v>
      </c>
      <c r="H64" s="16"/>
      <c r="I64" s="16" t="s">
        <v>42</v>
      </c>
      <c r="J64" s="16" t="s">
        <v>327</v>
      </c>
      <c r="K64" s="16" t="s">
        <v>328</v>
      </c>
      <c r="L64" s="16" t="s">
        <v>329</v>
      </c>
      <c r="M64" s="16" t="s">
        <v>46</v>
      </c>
      <c r="N64" s="18">
        <v>25170</v>
      </c>
      <c r="O64" s="16"/>
      <c r="P64" s="16" t="s">
        <v>318</v>
      </c>
      <c r="Q64" s="16" t="s">
        <v>197</v>
      </c>
      <c r="R64" s="16"/>
      <c r="S64" s="16"/>
      <c r="T64" s="16"/>
      <c r="U64" s="23" t="str">
        <f>IFERROR(__xludf.DUMMYFUNCTION("IFERROR(IF(ISTEXT(G64),TIMEVALUE(IF(REGEXMATCH(SUBSTITUTE(SUBSTITUTE(SUBSTITUTE(REGEXEXTRACT(G64,""(\d{1,2}(?:[:\.h\s]\d{2})?)""),""."","":"" ),""h"","":"" ),"" "","":"" ),""^\d{1,2}$""),SUBSTITUTE(SUBSTITUTE(SUBSTITUTE(REGEXEXTRACT(G64,""(\d{1,2}(?:[:\.h"&amp;"\s]\d{2})?)""),""."","":"" ),""h"","":"" ),"" "","":"" ) &amp; "":00"",SUBSTITUTE(SUBSTITUTE(SUBSTITUTE(REGEXEXTRACT(G64,""(\d{1,2}(?:[:\.h\s]\d{2})?)""),""."","":"" ),""h"","":"" ),"" "","":"" ))),IF(ISNUMBER(G64),MOD(G64,1),"""" )),"""" )"),"")</f>
        <v/>
      </c>
    </row>
    <row r="65" ht="15" customHeight="1" spans="1:21">
      <c r="A65" s="13">
        <v>27</v>
      </c>
      <c r="B65" s="14">
        <v>45717</v>
      </c>
      <c r="C65" s="15">
        <v>44444</v>
      </c>
      <c r="D65" s="15" t="s">
        <v>330</v>
      </c>
      <c r="E65" s="15" t="s">
        <v>331</v>
      </c>
      <c r="F65" s="15">
        <v>3487087019</v>
      </c>
      <c r="G65" s="15" t="s">
        <v>332</v>
      </c>
      <c r="H65" s="15" t="s">
        <v>78</v>
      </c>
      <c r="I65" s="15" t="s">
        <v>42</v>
      </c>
      <c r="J65" s="15" t="s">
        <v>270</v>
      </c>
      <c r="K65" s="15" t="s">
        <v>333</v>
      </c>
      <c r="L65" s="15" t="s">
        <v>45</v>
      </c>
      <c r="M65" s="15" t="s">
        <v>46</v>
      </c>
      <c r="N65" s="17">
        <v>24533</v>
      </c>
      <c r="O65" s="15"/>
      <c r="P65" s="15"/>
      <c r="Q65" s="15"/>
      <c r="R65" s="15"/>
      <c r="S65" s="15"/>
      <c r="T65" s="15"/>
      <c r="U65" s="20" t="str">
        <f>IFERROR(__xludf.DUMMYFUNCTION("IFERROR(IF(ISTEXT(G65),TIMEVALUE(IF(REGEXMATCH(SUBSTITUTE(SUBSTITUTE(SUBSTITUTE(REGEXEXTRACT(G65,""(\d{1,2}(?:[:\.h\s]\d{2})?)""),""."","":"" ),""h"","":"" ),"" "","":"" ),""^\d{1,2}$""),SUBSTITUTE(SUBSTITUTE(SUBSTITUTE(REGEXEXTRACT(G65,""(\d{1,2}(?:[:\.h"&amp;"\s]\d{2})?)""),""."","":"" ),""h"","":"" ),"" "","":"" ) &amp; "":00"",SUBSTITUTE(SUBSTITUTE(SUBSTITUTE(REGEXEXTRACT(G65,""(\d{1,2}(?:[:\.h\s]\d{2})?)""),""."","":"" ),""h"","":"" ),"" "","":"" ))),IF(ISNUMBER(G65),MOD(G65,1),"""" )),"""" )"),"")</f>
        <v/>
      </c>
    </row>
    <row r="66" ht="15" customHeight="1" spans="1:21">
      <c r="A66" s="13">
        <v>27</v>
      </c>
      <c r="B66" s="14">
        <v>45718</v>
      </c>
      <c r="C66" s="15">
        <v>44444</v>
      </c>
      <c r="D66" s="15" t="s">
        <v>334</v>
      </c>
      <c r="E66" s="15" t="s">
        <v>335</v>
      </c>
      <c r="F66" s="15">
        <v>3478824832</v>
      </c>
      <c r="G66" s="15" t="s">
        <v>336</v>
      </c>
      <c r="H66" s="15"/>
      <c r="I66" s="15" t="s">
        <v>42</v>
      </c>
      <c r="J66" s="15" t="s">
        <v>337</v>
      </c>
      <c r="K66" s="15" t="s">
        <v>338</v>
      </c>
      <c r="L66" s="15" t="s">
        <v>339</v>
      </c>
      <c r="M66" s="15" t="s">
        <v>340</v>
      </c>
      <c r="N66" s="17">
        <v>26928</v>
      </c>
      <c r="O66" s="15"/>
      <c r="P66" s="15"/>
      <c r="Q66" s="15"/>
      <c r="R66" s="15"/>
      <c r="S66" s="15"/>
      <c r="T66" s="15"/>
      <c r="U66" s="20" t="str">
        <f>IFERROR(__xludf.DUMMYFUNCTION("IFERROR(IF(ISTEXT(G66),TIMEVALUE(IF(REGEXMATCH(SUBSTITUTE(SUBSTITUTE(SUBSTITUTE(REGEXEXTRACT(G66,""(\d{1,2}(?:[:\.h\s]\d{2})?)""),""."","":"" ),""h"","":"" ),"" "","":"" ),""^\d{1,2}$""),SUBSTITUTE(SUBSTITUTE(SUBSTITUTE(REGEXEXTRACT(G66,""(\d{1,2}(?:[:\.h"&amp;"\s]\d{2})?)""),""."","":"" ),""h"","":"" ),"" "","":"" ) &amp; "":00"",SUBSTITUTE(SUBSTITUTE(SUBSTITUTE(REGEXEXTRACT(G66,""(\d{1,2}(?:[:\.h\s]\d{2})?)""),""."","":"" ),""h"","":"" ),"" "","":"" ))),IF(ISNUMBER(G66),MOD(G66,1),"""" )),"""" )"),"")</f>
        <v/>
      </c>
    </row>
    <row r="67" ht="15" customHeight="1" spans="1:21">
      <c r="A67" s="13">
        <v>27</v>
      </c>
      <c r="B67" s="14">
        <v>45719</v>
      </c>
      <c r="C67" s="15">
        <v>44444</v>
      </c>
      <c r="D67" s="15" t="s">
        <v>330</v>
      </c>
      <c r="E67" s="15" t="s">
        <v>341</v>
      </c>
      <c r="F67" s="15">
        <v>3757318495</v>
      </c>
      <c r="G67" s="15"/>
      <c r="H67" s="15"/>
      <c r="I67" s="15" t="s">
        <v>42</v>
      </c>
      <c r="J67" s="15"/>
      <c r="K67" s="15" t="s">
        <v>342</v>
      </c>
      <c r="L67" s="15" t="s">
        <v>45</v>
      </c>
      <c r="M67" s="15" t="s">
        <v>46</v>
      </c>
      <c r="N67" s="17">
        <v>40605</v>
      </c>
      <c r="O67" s="15"/>
      <c r="P67" s="15"/>
      <c r="Q67" s="15"/>
      <c r="R67" s="15"/>
      <c r="S67" s="15"/>
      <c r="T67" s="15"/>
      <c r="U67" s="20" t="str">
        <f>IFERROR(__xludf.DUMMYFUNCTION("IFERROR(IF(ISTEXT(G67),TIMEVALUE(IF(REGEXMATCH(SUBSTITUTE(SUBSTITUTE(SUBSTITUTE(REGEXEXTRACT(G67,""(\d{1,2}(?:[:\.h\s]\d{2})?)""),""."","":"" ),""h"","":"" ),"" "","":"" ),""^\d{1,2}$""),SUBSTITUTE(SUBSTITUTE(SUBSTITUTE(REGEXEXTRACT(G67,""(\d{1,2}(?:[:\.h"&amp;"\s]\d{2})?)""),""."","":"" ),""h"","":"" ),"" "","":"" ) &amp; "":00"",SUBSTITUTE(SUBSTITUTE(SUBSTITUTE(REGEXEXTRACT(G67,""(\d{1,2}(?:[:\.h\s]\d{2})?)""),""."","":"" ),""h"","":"" ),"" "","":"" ))),IF(ISNUMBER(G67),MOD(G67,1),"""" )),"""" )"),"")</f>
        <v/>
      </c>
    </row>
    <row r="68" ht="15" customHeight="1" spans="1:21">
      <c r="A68" s="13">
        <v>19</v>
      </c>
      <c r="B68" s="14">
        <v>45717</v>
      </c>
      <c r="C68" s="16">
        <v>77777</v>
      </c>
      <c r="D68" s="16" t="s">
        <v>232</v>
      </c>
      <c r="E68" s="16" t="s">
        <v>343</v>
      </c>
      <c r="F68" s="16"/>
      <c r="G68" s="16" t="s">
        <v>344</v>
      </c>
      <c r="H68" s="16" t="s">
        <v>78</v>
      </c>
      <c r="I68" s="16" t="s">
        <v>42</v>
      </c>
      <c r="J68" s="16"/>
      <c r="K68" s="16" t="s">
        <v>345</v>
      </c>
      <c r="L68" s="16" t="s">
        <v>45</v>
      </c>
      <c r="M68" s="16" t="s">
        <v>46</v>
      </c>
      <c r="N68" s="18">
        <v>38391</v>
      </c>
      <c r="O68" s="16"/>
      <c r="P68" s="16"/>
      <c r="Q68" s="16"/>
      <c r="R68" s="16"/>
      <c r="S68" s="16"/>
      <c r="T68" s="16"/>
      <c r="U68" s="23" t="str">
        <f>IFERROR(__xludf.DUMMYFUNCTION("IFERROR(IF(ISTEXT(G68),TIMEVALUE(IF(REGEXMATCH(SUBSTITUTE(SUBSTITUTE(SUBSTITUTE(REGEXEXTRACT(G68,""(\d{1,2}(?:[:\.h\s]\d{2})?)""),""."","":"" ),""h"","":"" ),"" "","":"" ),""^\d{1,2}$""),SUBSTITUTE(SUBSTITUTE(SUBSTITUTE(REGEXEXTRACT(G68,""(\d{1,2}(?:[:\.h"&amp;"\s]\d{2})?)""),""."","":"" ),""h"","":"" ),"" "","":"" ) &amp; "":00"",SUBSTITUTE(SUBSTITUTE(SUBSTITUTE(REGEXEXTRACT(G68,""(\d{1,2}(?:[:\.h\s]\d{2})?)""),""."","":"" ),""h"","":"" ),"" "","":"" ))),IF(ISNUMBER(G68),MOD(G68,1),"""" )),"""" )"),"")</f>
        <v/>
      </c>
    </row>
    <row r="69" ht="15" customHeight="1" spans="1:21">
      <c r="A69" s="13">
        <v>19</v>
      </c>
      <c r="B69" s="14">
        <v>45718</v>
      </c>
      <c r="C69" s="16">
        <v>77777</v>
      </c>
      <c r="D69" s="16" t="s">
        <v>232</v>
      </c>
      <c r="E69" s="16" t="s">
        <v>346</v>
      </c>
      <c r="F69" s="16"/>
      <c r="G69" s="16"/>
      <c r="H69" s="16"/>
      <c r="I69" s="16" t="s">
        <v>42</v>
      </c>
      <c r="J69" s="16"/>
      <c r="K69" s="16" t="s">
        <v>347</v>
      </c>
      <c r="L69" s="16" t="s">
        <v>45</v>
      </c>
      <c r="M69" s="16" t="s">
        <v>46</v>
      </c>
      <c r="N69" s="18">
        <v>39637</v>
      </c>
      <c r="O69" s="16"/>
      <c r="P69" s="16"/>
      <c r="Q69" s="16"/>
      <c r="R69" s="16"/>
      <c r="S69" s="16"/>
      <c r="T69" s="16"/>
      <c r="U69" s="23" t="str">
        <f>IFERROR(__xludf.DUMMYFUNCTION("IFERROR(IF(ISTEXT(G69),TIMEVALUE(IF(REGEXMATCH(SUBSTITUTE(SUBSTITUTE(SUBSTITUTE(REGEXEXTRACT(G69,""(\d{1,2}(?:[:\.h\s]\d{2})?)""),""."","":"" ),""h"","":"" ),"" "","":"" ),""^\d{1,2}$""),SUBSTITUTE(SUBSTITUTE(SUBSTITUTE(REGEXEXTRACT(G69,""(\d{1,2}(?:[:\.h"&amp;"\s]\d{2})?)""),""."","":"" ),""h"","":"" ),"" "","":"" ) &amp; "":00"",SUBSTITUTE(SUBSTITUTE(SUBSTITUTE(REGEXEXTRACT(G69,""(\d{1,2}(?:[:\.h\s]\d{2})?)""),""."","":"" ),""h"","":"" ),"" "","":"" ))),IF(ISNUMBER(G69),MOD(G69,1),"""" )),"""" )"),"")</f>
        <v/>
      </c>
    </row>
    <row r="70" ht="15" customHeight="1" spans="1:21">
      <c r="A70" s="13">
        <v>19</v>
      </c>
      <c r="B70" s="14">
        <v>45719</v>
      </c>
      <c r="C70" s="16">
        <v>77777</v>
      </c>
      <c r="D70" s="16" t="s">
        <v>348</v>
      </c>
      <c r="E70" s="16" t="s">
        <v>40</v>
      </c>
      <c r="F70" s="16">
        <v>3209261656</v>
      </c>
      <c r="G70" s="16" t="s">
        <v>349</v>
      </c>
      <c r="H70" s="16"/>
      <c r="I70" s="16" t="s">
        <v>42</v>
      </c>
      <c r="J70" s="16" t="s">
        <v>350</v>
      </c>
      <c r="K70" s="16" t="s">
        <v>351</v>
      </c>
      <c r="L70" s="16" t="s">
        <v>352</v>
      </c>
      <c r="M70" s="16"/>
      <c r="N70" s="18">
        <v>38211</v>
      </c>
      <c r="O70" s="16"/>
      <c r="P70" s="16"/>
      <c r="Q70" s="16"/>
      <c r="R70" s="16" t="s">
        <v>353</v>
      </c>
      <c r="S70" s="16"/>
      <c r="T70" s="16"/>
      <c r="U70" s="23" t="str">
        <f>IFERROR(__xludf.DUMMYFUNCTION("IFERROR(IF(ISTEXT(G70),TIMEVALUE(IF(REGEXMATCH(SUBSTITUTE(SUBSTITUTE(SUBSTITUTE(REGEXEXTRACT(G70,""(\d{1,2}(?:[:\.h\s]\d{2})?)""),""."","":"" ),""h"","":"" ),"" "","":"" ),""^\d{1,2}$""),SUBSTITUTE(SUBSTITUTE(SUBSTITUTE(REGEXEXTRACT(G70,""(\d{1,2}(?:[:\.h"&amp;"\s]\d{2})?)""),""."","":"" ),""h"","":"" ),"" "","":"" ) &amp; "":00"",SUBSTITUTE(SUBSTITUTE(SUBSTITUTE(REGEXEXTRACT(G70,""(\d{1,2}(?:[:\.h\s]\d{2})?)""),""."","":"" ),""h"","":"" ),"" "","":"" ))),IF(ISNUMBER(G70),MOD(G70,1),"""" )),"""" )"),"")</f>
        <v/>
      </c>
    </row>
    <row r="71" ht="15" customHeight="1" spans="1:21">
      <c r="A71" s="13">
        <v>28</v>
      </c>
      <c r="B71" s="14">
        <v>45748</v>
      </c>
      <c r="C71" s="15">
        <v>39695</v>
      </c>
      <c r="D71" s="15" t="s">
        <v>354</v>
      </c>
      <c r="E71" s="15" t="s">
        <v>355</v>
      </c>
      <c r="F71" s="15">
        <v>3343012392</v>
      </c>
      <c r="G71" s="15" t="s">
        <v>356</v>
      </c>
      <c r="H71" s="15" t="s">
        <v>84</v>
      </c>
      <c r="I71" s="15" t="s">
        <v>42</v>
      </c>
      <c r="J71" s="15" t="s">
        <v>357</v>
      </c>
      <c r="K71" s="15" t="s">
        <v>358</v>
      </c>
      <c r="L71" s="15" t="s">
        <v>359</v>
      </c>
      <c r="M71" s="15" t="s">
        <v>96</v>
      </c>
      <c r="N71" s="17">
        <v>35534</v>
      </c>
      <c r="O71" s="15"/>
      <c r="P71" s="15" t="s">
        <v>64</v>
      </c>
      <c r="Q71" s="15"/>
      <c r="R71" s="15" t="s">
        <v>360</v>
      </c>
      <c r="S71" s="15"/>
      <c r="T71" s="15"/>
      <c r="U71" s="20" t="str">
        <f>IFERROR(__xludf.DUMMYFUNCTION("IFERROR(IF(ISTEXT(G71),TIMEVALUE(IF(REGEXMATCH(SUBSTITUTE(SUBSTITUTE(SUBSTITUTE(REGEXEXTRACT(G71,""(\d{1,2}(?:[:\.h\s]\d{2})?)""),""."","":"" ),""h"","":"" ),"" "","":"" ),""^\d{1,2}$""),SUBSTITUTE(SUBSTITUTE(SUBSTITUTE(REGEXEXTRACT(G71,""(\d{1,2}(?:[:\.h"&amp;"\s]\d{2})?)""),""."","":"" ),""h"","":"" ),"" "","":"" ) &amp; "":00"",SUBSTITUTE(SUBSTITUTE(SUBSTITUTE(REGEXEXTRACT(G71,""(\d{1,2}(?:[:\.h\s]\d{2})?)""),""."","":"" ),""h"","":"" ),"" "","":"" ))),IF(ISNUMBER(G71),MOD(G71,1),"""" )),"""" )"),"")</f>
        <v/>
      </c>
    </row>
    <row r="72" ht="15" customHeight="1" spans="1:21">
      <c r="A72" s="13">
        <v>28</v>
      </c>
      <c r="B72" s="14">
        <v>45749</v>
      </c>
      <c r="C72" s="15">
        <v>39695</v>
      </c>
      <c r="D72" s="15" t="s">
        <v>361</v>
      </c>
      <c r="E72" s="15" t="s">
        <v>362</v>
      </c>
      <c r="F72" s="15">
        <v>3382379743</v>
      </c>
      <c r="G72" s="15" t="s">
        <v>363</v>
      </c>
      <c r="H72" s="15"/>
      <c r="I72" s="15" t="s">
        <v>42</v>
      </c>
      <c r="J72" s="15"/>
      <c r="K72" s="15" t="s">
        <v>364</v>
      </c>
      <c r="L72" s="15" t="s">
        <v>185</v>
      </c>
      <c r="M72" s="15" t="s">
        <v>77</v>
      </c>
      <c r="N72" s="17">
        <v>35800</v>
      </c>
      <c r="O72" s="15"/>
      <c r="P72" s="15"/>
      <c r="Q72" s="15"/>
      <c r="R72" s="15"/>
      <c r="S72" s="15"/>
      <c r="T72" s="15"/>
      <c r="U72" s="20" t="str">
        <f>IFERROR(__xludf.DUMMYFUNCTION("IFERROR(IF(ISTEXT(G72),TIMEVALUE(IF(REGEXMATCH(SUBSTITUTE(SUBSTITUTE(SUBSTITUTE(REGEXEXTRACT(G72,""(\d{1,2}(?:[:\.h\s]\d{2})?)""),""."","":"" ),""h"","":"" ),"" "","":"" ),""^\d{1,2}$""),SUBSTITUTE(SUBSTITUTE(SUBSTITUTE(REGEXEXTRACT(G72,""(\d{1,2}(?:[:\.h"&amp;"\s]\d{2})?)""),""."","":"" ),""h"","":"" ),"" "","":"" ) &amp; "":00"",SUBSTITUTE(SUBSTITUTE(SUBSTITUTE(REGEXEXTRACT(G72,""(\d{1,2}(?:[:\.h\s]\d{2})?)""),""."","":"" ),""h"","":"" ),"" "","":"" ))),IF(ISNUMBER(G72),MOD(G72,1),"""" )),"""" )"),"")</f>
        <v/>
      </c>
    </row>
    <row r="73" ht="15" customHeight="1" spans="1:21">
      <c r="A73" s="13">
        <v>28</v>
      </c>
      <c r="B73" s="14">
        <v>45750</v>
      </c>
      <c r="C73" s="15">
        <v>39695</v>
      </c>
      <c r="D73" s="15" t="s">
        <v>361</v>
      </c>
      <c r="E73" s="15" t="s">
        <v>365</v>
      </c>
      <c r="F73" s="15">
        <v>3661599140</v>
      </c>
      <c r="G73" s="15" t="s">
        <v>366</v>
      </c>
      <c r="H73" s="15"/>
      <c r="I73" s="15" t="s">
        <v>42</v>
      </c>
      <c r="J73" s="15"/>
      <c r="K73" s="15" t="s">
        <v>367</v>
      </c>
      <c r="L73" s="15" t="s">
        <v>45</v>
      </c>
      <c r="M73" s="15" t="s">
        <v>46</v>
      </c>
      <c r="N73" s="17">
        <v>33466</v>
      </c>
      <c r="O73" s="15"/>
      <c r="P73" s="15"/>
      <c r="Q73" s="15"/>
      <c r="R73" s="15"/>
      <c r="S73" s="15"/>
      <c r="T73" s="15"/>
      <c r="U73" s="20" t="str">
        <f>IFERROR(__xludf.DUMMYFUNCTION("IFERROR(IF(ISTEXT(G73),TIMEVALUE(IF(REGEXMATCH(SUBSTITUTE(SUBSTITUTE(SUBSTITUTE(REGEXEXTRACT(G73,""(\d{1,2}(?:[:\.h\s]\d{2})?)""),""."","":"" ),""h"","":"" ),"" "","":"" ),""^\d{1,2}$""),SUBSTITUTE(SUBSTITUTE(SUBSTITUTE(REGEXEXTRACT(G73,""(\d{1,2}(?:[:\.h"&amp;"\s]\d{2})?)""),""."","":"" ),""h"","":"" ),"" "","":"" ) &amp; "":00"",SUBSTITUTE(SUBSTITUTE(SUBSTITUTE(REGEXEXTRACT(G73,""(\d{1,2}(?:[:\.h\s]\d{2})?)""),""."","":"" ),""h"","":"" ),"" "","":"" ))),IF(ISNUMBER(G73),MOD(G73,1),"""" )),"""" )"),"")</f>
        <v/>
      </c>
    </row>
    <row r="74" ht="15" customHeight="1" spans="1:21">
      <c r="A74" s="13">
        <v>28</v>
      </c>
      <c r="B74" s="39">
        <v>45751</v>
      </c>
      <c r="C74" s="40">
        <v>39695</v>
      </c>
      <c r="D74" s="40" t="s">
        <v>361</v>
      </c>
      <c r="E74" s="40" t="s">
        <v>368</v>
      </c>
      <c r="F74" s="40">
        <v>3319057530</v>
      </c>
      <c r="G74" s="40" t="s">
        <v>369</v>
      </c>
      <c r="H74" s="40"/>
      <c r="I74" s="40" t="s">
        <v>42</v>
      </c>
      <c r="J74" s="40"/>
      <c r="K74" s="40" t="s">
        <v>370</v>
      </c>
      <c r="L74" s="40" t="s">
        <v>218</v>
      </c>
      <c r="M74" s="40" t="s">
        <v>219</v>
      </c>
      <c r="N74" s="42">
        <v>32863</v>
      </c>
      <c r="O74" s="40"/>
      <c r="P74" s="40" t="s">
        <v>371</v>
      </c>
      <c r="Q74" s="40" t="s">
        <v>48</v>
      </c>
      <c r="R74" s="40"/>
      <c r="S74" s="40" t="s">
        <v>48</v>
      </c>
      <c r="T74" s="40"/>
      <c r="U74" s="44" t="str">
        <f>IFERROR(__xludf.DUMMYFUNCTION("IFERROR(IF(ISTEXT(G74),TIMEVALUE(IF(REGEXMATCH(SUBSTITUTE(SUBSTITUTE(SUBSTITUTE(REGEXEXTRACT(G74,""(\d{1,2}(?:[:\.h\s]\d{2})?)""),""."","":"" ),""h"","":"" ),"" "","":"" ),""^\d{1,2}$""),SUBSTITUTE(SUBSTITUTE(SUBSTITUTE(REGEXEXTRACT(G74,""(\d{1,2}(?:[:\.h"&amp;"\s]\d{2})?)""),""."","":"" ),""h"","":"" ),"" "","":"" ) &amp; "":00"",SUBSTITUTE(SUBSTITUTE(SUBSTITUTE(REGEXEXTRACT(G74,""(\d{1,2}(?:[:\.h\s]\d{2})?)""),""."","":"" ),""h"","":"" ),"" "","":"" ))),IF(ISNUMBER(G74),MOD(G74,1),"""" )),"""" )"),"")</f>
        <v/>
      </c>
    </row>
    <row r="75" ht="15" customHeight="1" spans="1:21">
      <c r="A75" s="13">
        <v>29</v>
      </c>
      <c r="B75" s="41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43"/>
      <c r="P75" s="30"/>
      <c r="Q75" s="30"/>
      <c r="R75" s="30"/>
      <c r="S75" s="30"/>
      <c r="U75" s="45"/>
    </row>
  </sheetData>
  <mergeCells count="2">
    <mergeCell ref="B1:F1"/>
    <mergeCell ref="B2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ORDINE_FOGLI</vt:lpstr>
      <vt:lpstr>Ponte Immacolata 041225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minerva</cp:lastModifiedBy>
  <dcterms:created xsi:type="dcterms:W3CDTF">2025-12-16T16:53:18Z</dcterms:created>
  <dcterms:modified xsi:type="dcterms:W3CDTF">2025-12-16T16:54:02Z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F9A5F61ABB3C462983FE482213360024_12</vt:lpwstr>
  </property>
  <property fmtid="{D5CDD505-2E9C-101B-9397-08002B2CF9AE}" pid="3" name="KSOProductBuildVer">
    <vt:lpwstr>1033-12.2.0.22549</vt:lpwstr>
  </property>
</Properties>
</file>