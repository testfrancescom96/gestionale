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ture acquisto non di viaggi" sheetId="1" r:id="rId4"/>
    <sheet state="visible" name="VIAGGI IN GIORNATA" sheetId="2" r:id="rId5"/>
    <sheet state="visible" name="Viaggi di più giorni" sheetId="3" r:id="rId6"/>
    <sheet state="visible" name="Pratiche individuali" sheetId="4" r:id="rId7"/>
  </sheets>
  <definedNames/>
  <calcPr/>
</workbook>
</file>

<file path=xl/sharedStrings.xml><?xml version="1.0" encoding="utf-8"?>
<sst xmlns="http://schemas.openxmlformats.org/spreadsheetml/2006/main" count="305" uniqueCount="222">
  <si>
    <t>Data</t>
  </si>
  <si>
    <t>cognome / Azienda</t>
  </si>
  <si>
    <t>Oggetto dell'operazione</t>
  </si>
  <si>
    <t xml:space="preserve">Entrate </t>
  </si>
  <si>
    <t>Scontrino / fattura / rapportino</t>
  </si>
  <si>
    <t>STUDIO TIBERIO &amp; ASSOCIATI</t>
  </si>
  <si>
    <t>CONSULENTE LAVORO</t>
  </si>
  <si>
    <t>1262</t>
  </si>
  <si>
    <t>TBS EUROPE SRL</t>
  </si>
  <si>
    <t>CARTA CARBURANTE</t>
  </si>
  <si>
    <t>036448/F25</t>
  </si>
  <si>
    <t>031600/FD25</t>
  </si>
  <si>
    <t>Fattura24 S.r.l.</t>
  </si>
  <si>
    <t>PIATTAFORMA GESTIONE FATTURE</t>
  </si>
  <si>
    <t>7770-2025-FE</t>
  </si>
  <si>
    <t>Aromaticafe S.r.l.</t>
  </si>
  <si>
    <t>0000847/A1</t>
  </si>
  <si>
    <t>Evento</t>
  </si>
  <si>
    <t>Fornitore</t>
  </si>
  <si>
    <t>Fattura</t>
  </si>
  <si>
    <t>Mirabilandia (Speciale Halloween)</t>
  </si>
  <si>
    <t>PARENTE VIAGGI s.r.l.</t>
  </si>
  <si>
    <t>520 (2 bus)</t>
  </si>
  <si>
    <t>FRENTANIA BUS SRLS</t>
  </si>
  <si>
    <t>65 (2 bus)</t>
  </si>
  <si>
    <t>Viaggio in Giornata al Lucca Comics &amp; Games</t>
  </si>
  <si>
    <t>Evento annullato</t>
  </si>
  <si>
    <t>Viaggio a Napoli con Guida</t>
  </si>
  <si>
    <t>Viaggio alla Mostra di Mucha a Roma</t>
  </si>
  <si>
    <t>Pubblico - Avanti Un Altro</t>
  </si>
  <si>
    <t>Navetta Bus concerto Modà Roma</t>
  </si>
  <si>
    <t>Navette Bus per il Concerto di Mengoni</t>
  </si>
  <si>
    <t>Luberti bus</t>
  </si>
  <si>
    <t>in attesa di fattura</t>
  </si>
  <si>
    <t>Viaggio di Gruppo i Segreti del Vietnam</t>
  </si>
  <si>
    <t>Viaggio a Cremona e Festa del Torrone</t>
  </si>
  <si>
    <t>Napoli &amp; i Presepi di San Gregorio Armeno</t>
  </si>
  <si>
    <t>Viaggio a Roma in Libertà</t>
  </si>
  <si>
    <t>Viaggio a Viterbo e Vetralla</t>
  </si>
  <si>
    <t>Viaggio alla Mostra i Tesori dei Faraoni</t>
  </si>
  <si>
    <t>Viaggio di gruppo ad Assisi</t>
  </si>
  <si>
    <t>Viaggio - Harry Potter The Exhibition</t>
  </si>
  <si>
    <t>Pubblico di C'è Posta per Te</t>
  </si>
  <si>
    <t>Navetta Bus concerto Annalisa Roma</t>
  </si>
  <si>
    <t>Viaggio a Perugia per Eurochocolate</t>
  </si>
  <si>
    <t>CIVITARESE VIAGGI S.R.L.</t>
  </si>
  <si>
    <t>Viaggio al Christmas Village di Viterbo</t>
  </si>
  <si>
    <t>Viaggio a Pesaro e Candelara</t>
  </si>
  <si>
    <t>Una giornata da VIP al GRANDE FRATELLO</t>
  </si>
  <si>
    <t>Nessun costo da registrare</t>
  </si>
  <si>
    <t>Navetta Bus concerto Elisa Roma</t>
  </si>
  <si>
    <t>Navetta Bus concerto Anna Casalecchio</t>
  </si>
  <si>
    <t>Navetta Bus concerto Modà Bari</t>
  </si>
  <si>
    <t>Navetta Bus concerto Carl Brave Roma</t>
  </si>
  <si>
    <t>Firenze: Un Viaggio nell'Arte con Guida</t>
  </si>
  <si>
    <t>Navetta Bus concerto Alfa Roma</t>
  </si>
  <si>
    <t>Viaggio ad Alberobello e Locorotondo</t>
  </si>
  <si>
    <t>Viaggio a San Marino con Guida</t>
  </si>
  <si>
    <t>Navetta Bus concerto Marracash Casalecchio</t>
  </si>
  <si>
    <t>Navetta Bus concerto Anna Napoli</t>
  </si>
  <si>
    <t>Evento: Transumanza dei Cavalli al Voltigno</t>
  </si>
  <si>
    <t xml:space="preserve"> N</t>
  </si>
  <si>
    <t>Nome evento:</t>
  </si>
  <si>
    <t>Destinazione</t>
  </si>
  <si>
    <t>Data viaggio:</t>
  </si>
  <si>
    <t>Fattura clienti:</t>
  </si>
  <si>
    <t>Numero fattura</t>
  </si>
  <si>
    <t>Fattura elettronica:</t>
  </si>
  <si>
    <t xml:space="preserve">Costo </t>
  </si>
  <si>
    <t xml:space="preserve"> Weekend a Chianciano e Montepulciano	</t>
  </si>
  <si>
    <t>15/11/2025  -  16/11/2025</t>
  </si>
  <si>
    <r>
      <rPr>
        <rFont val="Quattrocento Sans"/>
        <color theme="1"/>
        <sz val="15.0"/>
      </rPr>
      <t xml:space="preserve">362-2025-FE       363-2025-FE      365-2025-FE     366-2025-FE       368-2025-FE     369-2025-FE  </t>
    </r>
    <r>
      <rPr>
        <rFont val="Quattrocento Sans"/>
        <b/>
        <color theme="1"/>
        <sz val="17.0"/>
      </rPr>
      <t>MANCANO FATTURE</t>
    </r>
  </si>
  <si>
    <t>MR BUS S.R.L</t>
  </si>
  <si>
    <t>FPR 209/25</t>
  </si>
  <si>
    <t>Sì</t>
  </si>
  <si>
    <t>Titan Travel   (hotel) fattura allegata alla mail</t>
  </si>
  <si>
    <t>No</t>
  </si>
  <si>
    <t>Lucca Comics</t>
  </si>
  <si>
    <t>31/10/2025  -   02/11/2025</t>
  </si>
  <si>
    <r>
      <rPr>
        <rFont val="Quattrocento Sans"/>
        <color theme="1"/>
        <sz val="11.0"/>
      </rPr>
      <t xml:space="preserve">370-2025-FE         371-2025-FE       373-2025-FE        374-2025-FE        375-2025-FE        376-2025-FE      377-2025-FE     378-2025-FE    379-2025-FE     380-2025-FE    381-2025-FE     382-2025-FE      384-2025-FE   </t>
    </r>
    <r>
      <rPr>
        <rFont val="Quattrocento Sans"/>
        <b/>
        <color theme="1"/>
        <sz val="15.0"/>
      </rPr>
      <t>MANCANO FATTURE</t>
    </r>
  </si>
  <si>
    <t xml:space="preserve">Parente bus </t>
  </si>
  <si>
    <t>470</t>
  </si>
  <si>
    <t>NUOVA GESTIONE HOTEL BIONDI SRL</t>
  </si>
  <si>
    <t>Cognome</t>
  </si>
  <si>
    <t>Nome</t>
  </si>
  <si>
    <t>Costo al cliente</t>
  </si>
  <si>
    <t>Fattura al cliente</t>
  </si>
  <si>
    <t>Fornitori</t>
  </si>
  <si>
    <t>Numero Fattura</t>
  </si>
  <si>
    <t>Costo fornitori</t>
  </si>
  <si>
    <t xml:space="preserve">COSTA </t>
  </si>
  <si>
    <t>GIOVANNA</t>
  </si>
  <si>
    <t>SOGGIORNO</t>
  </si>
  <si>
    <t>FRUIT VIAGGI</t>
  </si>
  <si>
    <t xml:space="preserve">  AUTOFATTURA n° 01549/2025    
</t>
  </si>
  <si>
    <t>CHIARA</t>
  </si>
  <si>
    <t>DI MUZIO</t>
  </si>
  <si>
    <t>SIMONE</t>
  </si>
  <si>
    <t>REALE</t>
  </si>
  <si>
    <t>FRANCESCO</t>
  </si>
  <si>
    <t>MAIORCA</t>
  </si>
  <si>
    <t>Easy Market</t>
  </si>
  <si>
    <r>
      <rPr>
        <rFont val="Quattrocento Sans"/>
        <color theme="1"/>
        <sz val="15.0"/>
      </rPr>
      <t xml:space="preserve">fattura acquisto </t>
    </r>
    <r>
      <rPr>
        <rFont val="Quattrocento Sans"/>
        <b/>
        <color rgb="FFFF0000"/>
        <sz val="15.0"/>
      </rPr>
      <t>LUGLIO</t>
    </r>
    <r>
      <rPr>
        <rFont val="Quattrocento Sans"/>
        <color theme="1"/>
        <sz val="15.0"/>
      </rPr>
      <t>:</t>
    </r>
  </si>
  <si>
    <t>348-2025-FE</t>
  </si>
  <si>
    <t>00042541/02/2025</t>
  </si>
  <si>
    <t>ALDERIGHI</t>
  </si>
  <si>
    <t>BEATRICE</t>
  </si>
  <si>
    <t>IBIZA</t>
  </si>
  <si>
    <r>
      <rPr>
        <rFont val="Quattrocento Sans"/>
        <color theme="1"/>
        <sz val="15.0"/>
      </rPr>
      <t xml:space="preserve">fattura acquisto </t>
    </r>
    <r>
      <rPr>
        <rFont val="Quattrocento Sans"/>
        <b/>
        <color rgb="FFFF0000"/>
        <sz val="15.0"/>
      </rPr>
      <t>AGOSTO</t>
    </r>
    <r>
      <rPr>
        <rFont val="Quattrocento Sans"/>
        <color theme="1"/>
        <sz val="15.0"/>
      </rPr>
      <t>:</t>
    </r>
  </si>
  <si>
    <t>350-2025-FE</t>
  </si>
  <si>
    <t>00063526/02/2025</t>
  </si>
  <si>
    <t>DELLE NOCI</t>
  </si>
  <si>
    <t>GIORGIA</t>
  </si>
  <si>
    <t>AUSTRALIA</t>
  </si>
  <si>
    <r>
      <rPr>
        <rFont val="Quattrocento Sans"/>
        <color theme="1"/>
        <sz val="15.0"/>
      </rPr>
      <t xml:space="preserve">fattura commissioni volo </t>
    </r>
    <r>
      <rPr>
        <rFont val="Quattrocento Sans"/>
        <b/>
        <color rgb="FFFF0000"/>
        <sz val="15.0"/>
      </rPr>
      <t>LUGLIO</t>
    </r>
    <r>
      <rPr>
        <rFont val="Quattrocento Sans"/>
        <color theme="1"/>
        <sz val="15.0"/>
      </rPr>
      <t>:</t>
    </r>
  </si>
  <si>
    <t>00032721/03/2025</t>
  </si>
  <si>
    <t>LEONZIO</t>
  </si>
  <si>
    <t>BARBARA</t>
  </si>
  <si>
    <t>MENNINGEN</t>
  </si>
  <si>
    <t xml:space="preserve"> RYANAIR</t>
  </si>
  <si>
    <t>351-2025-FE</t>
  </si>
  <si>
    <t>RYANAIR</t>
  </si>
  <si>
    <t>INVOICE: 2802027-2025/IE</t>
  </si>
  <si>
    <t>PASCUCCI</t>
  </si>
  <si>
    <t>LUIGI</t>
  </si>
  <si>
    <t>ABANO</t>
  </si>
  <si>
    <t>352-2025-FE</t>
  </si>
  <si>
    <t>00051136/02/2025</t>
  </si>
  <si>
    <t xml:space="preserve">SPINOZZI </t>
  </si>
  <si>
    <t>FABIO</t>
  </si>
  <si>
    <t>CINA</t>
  </si>
  <si>
    <r>
      <rPr>
        <rFont val="Quattrocento Sans"/>
        <color theme="1"/>
        <sz val="15.0"/>
      </rPr>
      <t xml:space="preserve">fattura commissioni volo </t>
    </r>
    <r>
      <rPr>
        <rFont val="Quattrocento Sans"/>
        <b/>
        <color rgb="FFFF0000"/>
        <sz val="15.0"/>
      </rPr>
      <t>LUGLIO</t>
    </r>
    <r>
      <rPr>
        <rFont val="Quattrocento Sans"/>
        <color theme="1"/>
        <sz val="15.0"/>
      </rPr>
      <t>:</t>
    </r>
  </si>
  <si>
    <t>00034012/03/2025</t>
  </si>
  <si>
    <t>CERRITELLI</t>
  </si>
  <si>
    <t>Veneto</t>
  </si>
  <si>
    <t>Passucci</t>
  </si>
  <si>
    <t>353-2025-FE</t>
  </si>
  <si>
    <t>1248/F7</t>
  </si>
  <si>
    <t>BRUNI</t>
  </si>
  <si>
    <t>MELANIA</t>
  </si>
  <si>
    <t>CROCIERA</t>
  </si>
  <si>
    <t>MSC</t>
  </si>
  <si>
    <t>CRUSCO</t>
  </si>
  <si>
    <t>ANTONIO</t>
  </si>
  <si>
    <t>CALABRIA</t>
  </si>
  <si>
    <t>PAGATO CON WELFARE</t>
  </si>
  <si>
    <t>NICOLAUS SPA</t>
  </si>
  <si>
    <t>FATTURA AD AON</t>
  </si>
  <si>
    <t>SETTEMBRE</t>
  </si>
  <si>
    <t>028488/04</t>
  </si>
  <si>
    <t>307-2025-FE</t>
  </si>
  <si>
    <t>MERCURI</t>
  </si>
  <si>
    <t>VITO</t>
  </si>
  <si>
    <t>SPAGNA</t>
  </si>
  <si>
    <t>354-2025-FE</t>
  </si>
  <si>
    <t>1476/F7</t>
  </si>
  <si>
    <t>MORETTA</t>
  </si>
  <si>
    <t>GIUSEPPE</t>
  </si>
  <si>
    <t>VENEZIA</t>
  </si>
  <si>
    <t>355-2025-FE</t>
  </si>
  <si>
    <t>1469/F7</t>
  </si>
  <si>
    <t>MAZZILLI</t>
  </si>
  <si>
    <t>PESCASSEROLI</t>
  </si>
  <si>
    <t>BLUHOTELS</t>
  </si>
  <si>
    <r>
      <rPr>
        <rFont val="Quattrocento Sans"/>
        <color theme="1"/>
        <sz val="15.0"/>
      </rPr>
      <t xml:space="preserve">fatture acquisto </t>
    </r>
    <r>
      <rPr>
        <rFont val="Quattrocento Sans"/>
        <b/>
        <color rgb="FFFF0000"/>
        <sz val="15.0"/>
      </rPr>
      <t>AGOSTO</t>
    </r>
    <r>
      <rPr>
        <rFont val="Quattrocento Sans"/>
        <color theme="1"/>
        <sz val="15.0"/>
      </rPr>
      <t>:</t>
    </r>
  </si>
  <si>
    <r>
      <rPr>
        <rFont val="Quattrocento Sans"/>
        <color theme="1"/>
        <sz val="15.0"/>
      </rPr>
      <t xml:space="preserve">fattura vendita </t>
    </r>
    <r>
      <rPr>
        <rFont val="Quattrocento Sans"/>
        <b/>
        <color rgb="FFFF0000"/>
        <sz val="15.0"/>
      </rPr>
      <t>DICEMBRE</t>
    </r>
    <r>
      <rPr>
        <rFont val="Quattrocento Sans"/>
        <color theme="1"/>
        <sz val="15.0"/>
      </rPr>
      <t>:</t>
    </r>
  </si>
  <si>
    <t>25/0000700ghp
25/0000699ghp</t>
  </si>
  <si>
    <t>356-2025-FE</t>
  </si>
  <si>
    <t>MANCINI</t>
  </si>
  <si>
    <t>ROBERTO</t>
  </si>
  <si>
    <t>PARIGI</t>
  </si>
  <si>
    <r>
      <rPr>
        <rFont val="Quattrocento Sans"/>
        <color theme="1"/>
        <sz val="15.0"/>
      </rPr>
      <t xml:space="preserve">fatture acquisto </t>
    </r>
    <r>
      <rPr>
        <rFont val="Quattrocento Sans"/>
        <b/>
        <color rgb="FFFF0000"/>
        <sz val="15.0"/>
      </rPr>
      <t>GIUGNO</t>
    </r>
    <r>
      <rPr>
        <rFont val="Quattrocento Sans"/>
        <color theme="1"/>
        <sz val="15.0"/>
      </rPr>
      <t>:</t>
    </r>
  </si>
  <si>
    <t>357-2025-FE</t>
  </si>
  <si>
    <t xml:space="preserve"> 00039567/02/2025
</t>
  </si>
  <si>
    <t>PASQUALONE</t>
  </si>
  <si>
    <t>ZOPITO</t>
  </si>
  <si>
    <t>OSTUNI</t>
  </si>
  <si>
    <t>MAPOTRAVEL</t>
  </si>
  <si>
    <r>
      <rPr>
        <rFont val="Quattrocento Sans"/>
        <color theme="1"/>
        <sz val="15.0"/>
      </rPr>
      <t xml:space="preserve">fatture acquisto </t>
    </r>
    <r>
      <rPr>
        <rFont val="Quattrocento Sans"/>
        <b/>
        <color rgb="FFFF0000"/>
        <sz val="15.0"/>
      </rPr>
      <t>AGOSTO</t>
    </r>
    <r>
      <rPr>
        <rFont val="Quattrocento Sans"/>
        <color theme="1"/>
        <sz val="15.0"/>
      </rPr>
      <t>:</t>
    </r>
  </si>
  <si>
    <t>358-2025-FE</t>
  </si>
  <si>
    <t>01328/TER/2025</t>
  </si>
  <si>
    <t xml:space="preserve">DI CARLO </t>
  </si>
  <si>
    <t>SIMONA</t>
  </si>
  <si>
    <t>GENOVA E 5 TERRE</t>
  </si>
  <si>
    <t>360-2025-FE</t>
  </si>
  <si>
    <t>1586/F7</t>
  </si>
  <si>
    <t>MOHAMMED</t>
  </si>
  <si>
    <t>RACHIDA</t>
  </si>
  <si>
    <t>ISOLA DEL LIRI</t>
  </si>
  <si>
    <t>361-2025-FE</t>
  </si>
  <si>
    <t>MARTELLA</t>
  </si>
  <si>
    <t>SILVIA</t>
  </si>
  <si>
    <t>bus roma</t>
  </si>
  <si>
    <t>PRONTOBUS</t>
  </si>
  <si>
    <t>fattura nostra commissioni</t>
  </si>
  <si>
    <t>1,44 importo fattura commiss</t>
  </si>
  <si>
    <t>18 euro importo ticket</t>
  </si>
  <si>
    <t>347-2025-FE</t>
  </si>
  <si>
    <t>DI CARLO</t>
  </si>
  <si>
    <t>DI CARLO BUS EMETTERà FATTURA DEL NETTO, MESE SUCCESSIVO</t>
  </si>
  <si>
    <t>RUZZI</t>
  </si>
  <si>
    <t>MICHELA ELENA</t>
  </si>
  <si>
    <t>SHARM EL SHEIK</t>
  </si>
  <si>
    <t>WIZZAIR</t>
  </si>
  <si>
    <t>invoice DWAM-30588161  (allegata)</t>
  </si>
  <si>
    <t>386-2025-FE</t>
  </si>
  <si>
    <t>RATE HAWK</t>
  </si>
  <si>
    <t>Invoice B2B #154025-00002   (allegata)</t>
  </si>
  <si>
    <t>INTERMUNDIAL</t>
  </si>
  <si>
    <t>AGR202532441  (allegata)</t>
  </si>
  <si>
    <t>LANDOLFI</t>
  </si>
  <si>
    <t>VINCENZO</t>
  </si>
  <si>
    <t>VALENCIA</t>
  </si>
  <si>
    <t>NUMERO DI PRENOTAZIONE BW9VTV (in allegato)</t>
  </si>
  <si>
    <t>387-2025-FE</t>
  </si>
  <si>
    <t>Invoice B2B #154025-00020 (in allegato)</t>
  </si>
  <si>
    <t xml:space="preserve">DELL'AQUILA </t>
  </si>
  <si>
    <t>CORFU'</t>
  </si>
  <si>
    <t>GRIMALDI</t>
  </si>
  <si>
    <t xml:space="preserve">numero prenotazione G251104214  (in allegato, dovrebbero fare autofattura commissioni) </t>
  </si>
  <si>
    <t>388-2025-FE</t>
  </si>
  <si>
    <t>Invoice B2B #154025-00019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</si>
</sst>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€-2]\ #,##0.00"/>
    <numFmt numFmtId="165" formatCode="dd/mm/yyyy"/>
    <numFmt numFmtId="166" formatCode="_-[$€-2]* #,##0.00_-;_-[$€-2]* \-#,##0.00_-;_-[$€-2]* &quot;-&quot;??_-;_-@"/>
    <numFmt numFmtId="167" formatCode="dd/MM/yyyy"/>
    <numFmt numFmtId="168" formatCode="m/yyyy"/>
  </numFmts>
  <fonts count="16">
    <font>
      <sz val="10.0"/>
      <color rgb="FF000000"/>
      <name val="Arial"/>
      <scheme val="minor"/>
    </font>
    <font>
      <b/>
      <sz val="13.0"/>
      <color theme="1"/>
      <name val="Quattrocento Sans"/>
    </font>
    <font>
      <color theme="1"/>
      <name val="Arial"/>
    </font>
    <font>
      <sz val="12.0"/>
      <color rgb="FF000000"/>
      <name val="Roboto Condensed"/>
    </font>
    <font>
      <sz val="12.0"/>
      <color rgb="FF1D2129"/>
      <name val="Roboto Condensed"/>
    </font>
    <font/>
    <font>
      <b/>
      <sz val="12.0"/>
      <color rgb="FF1D2129"/>
      <name val="Roboto Condensed"/>
    </font>
    <font>
      <b/>
      <sz val="14.0"/>
      <color theme="1"/>
      <name val="Droid Sans"/>
    </font>
    <font>
      <b/>
      <sz val="15.0"/>
      <color theme="1"/>
      <name val="Droid Sans"/>
    </font>
    <font>
      <b/>
      <sz val="12.0"/>
      <color theme="1"/>
      <name val="Quattrocento Sans"/>
    </font>
    <font>
      <sz val="15.0"/>
      <color theme="1"/>
      <name val="Quattrocento Sans"/>
    </font>
    <font>
      <sz val="12.0"/>
      <color theme="1"/>
      <name val="Quattrocento Sans"/>
    </font>
    <font>
      <color theme="1"/>
      <name val="Arial"/>
      <scheme val="minor"/>
    </font>
    <font>
      <sz val="11.0"/>
      <color theme="1"/>
      <name val="Quattrocento Sans"/>
    </font>
    <font>
      <sz val="14.0"/>
      <color theme="1"/>
      <name val="Quattrocento Sans"/>
    </font>
    <font>
      <b/>
      <sz val="14.0"/>
      <color theme="1"/>
      <name val="Quattrocento Sans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F0FFC2"/>
        <bgColor rgb="FFF0FFC2"/>
      </patternFill>
    </fill>
    <fill>
      <patternFill patternType="solid">
        <fgColor rgb="FFFFFFF6"/>
        <bgColor rgb="FFFFFFF6"/>
      </patternFill>
    </fill>
    <fill>
      <patternFill patternType="solid">
        <fgColor rgb="FFF4CCCC"/>
        <bgColor rgb="FFF4CCCC"/>
      </patternFill>
    </fill>
  </fills>
  <borders count="32">
    <border/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ck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0" fillId="2" fontId="1" numFmtId="49" xfId="0" applyAlignment="1" applyFont="1" applyNumberFormat="1">
      <alignment horizontal="center" readingOrder="0" shrinkToFit="0" vertical="center" wrapText="1"/>
    </xf>
    <xf borderId="2" fillId="3" fontId="2" numFmtId="165" xfId="0" applyAlignment="1" applyBorder="1" applyFill="1" applyFont="1" applyNumberFormat="1">
      <alignment readingOrder="0" vertical="bottom"/>
    </xf>
    <xf borderId="2" fillId="3" fontId="2" numFmtId="49" xfId="0" applyAlignment="1" applyBorder="1" applyFont="1" applyNumberFormat="1">
      <alignment readingOrder="0" vertical="bottom"/>
    </xf>
    <xf borderId="2" fillId="3" fontId="2" numFmtId="164" xfId="0" applyAlignment="1" applyBorder="1" applyFont="1" applyNumberFormat="1">
      <alignment readingOrder="0" vertical="bottom"/>
    </xf>
    <xf borderId="2" fillId="4" fontId="2" numFmtId="166" xfId="0" applyAlignment="1" applyBorder="1" applyFill="1" applyFont="1" applyNumberFormat="1">
      <alignment readingOrder="0" vertical="bottom"/>
    </xf>
    <xf borderId="2" fillId="4" fontId="2" numFmtId="49" xfId="0" applyAlignment="1" applyBorder="1" applyFont="1" applyNumberFormat="1">
      <alignment readingOrder="0" vertical="bottom"/>
    </xf>
    <xf borderId="2" fillId="4" fontId="2" numFmtId="164" xfId="0" applyAlignment="1" applyBorder="1" applyFont="1" applyNumberFormat="1">
      <alignment readingOrder="0" vertical="bottom"/>
    </xf>
    <xf borderId="2" fillId="4" fontId="2" numFmtId="165" xfId="0" applyAlignment="1" applyBorder="1" applyFont="1" applyNumberFormat="1">
      <alignment readingOrder="0" vertical="bottom"/>
    </xf>
    <xf borderId="2" fillId="3" fontId="2" numFmtId="166" xfId="0" applyAlignment="1" applyBorder="1" applyFont="1" applyNumberFormat="1">
      <alignment readingOrder="0" vertical="bottom"/>
    </xf>
    <xf borderId="2" fillId="4" fontId="2" numFmtId="165" xfId="0" applyAlignment="1" applyBorder="1" applyFont="1" applyNumberFormat="1">
      <alignment vertical="bottom"/>
    </xf>
    <xf borderId="2" fillId="4" fontId="2" numFmtId="166" xfId="0" applyAlignment="1" applyBorder="1" applyFont="1" applyNumberFormat="1">
      <alignment vertical="bottom"/>
    </xf>
    <xf borderId="2" fillId="4" fontId="2" numFmtId="49" xfId="0" applyAlignment="1" applyBorder="1" applyFont="1" applyNumberFormat="1">
      <alignment vertical="bottom"/>
    </xf>
    <xf borderId="2" fillId="4" fontId="2" numFmtId="164" xfId="0" applyAlignment="1" applyBorder="1" applyFont="1" applyNumberFormat="1">
      <alignment vertical="bottom"/>
    </xf>
    <xf borderId="2" fillId="3" fontId="2" numFmtId="165" xfId="0" applyAlignment="1" applyBorder="1" applyFont="1" applyNumberFormat="1">
      <alignment vertical="bottom"/>
    </xf>
    <xf borderId="2" fillId="3" fontId="2" numFmtId="166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vertical="bottom"/>
    </xf>
    <xf borderId="2" fillId="3" fontId="2" numFmtId="164" xfId="0" applyAlignment="1" applyBorder="1" applyFont="1" applyNumberFormat="1">
      <alignment vertical="bottom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4" numFmtId="166" xfId="0" applyAlignment="1" applyBorder="1" applyFont="1" applyNumberFormat="1">
      <alignment horizontal="left" readingOrder="0" shrinkToFit="0" vertical="center" wrapText="0"/>
    </xf>
    <xf borderId="5" fillId="4" fontId="5" numFmtId="0" xfId="0" applyBorder="1" applyFont="1"/>
    <xf borderId="2" fillId="4" fontId="4" numFmtId="1" xfId="0" applyAlignment="1" applyBorder="1" applyFont="1" applyNumberFormat="1">
      <alignment horizontal="center" readingOrder="0" shrinkToFit="0" vertical="center" wrapText="0"/>
    </xf>
    <xf borderId="3" fillId="3" fontId="3" numFmtId="167" xfId="0" applyAlignment="1" applyBorder="1" applyFont="1" applyNumberFormat="1">
      <alignment horizontal="center" readingOrder="0" shrinkToFit="0" vertical="center" wrapText="0"/>
    </xf>
    <xf borderId="4" fillId="3" fontId="4" numFmtId="166" xfId="0" applyAlignment="1" applyBorder="1" applyFont="1" applyNumberFormat="1">
      <alignment horizontal="left" readingOrder="0" shrinkToFit="0" vertical="center" wrapText="0"/>
    </xf>
    <xf borderId="5" fillId="3" fontId="5" numFmtId="0" xfId="0" applyBorder="1" applyFont="1"/>
    <xf borderId="2" fillId="3" fontId="4" numFmtId="1" xfId="0" applyAlignment="1" applyBorder="1" applyFont="1" applyNumberFormat="1">
      <alignment horizontal="center" readingOrder="0" shrinkToFit="0" vertical="center" wrapText="0"/>
    </xf>
    <xf borderId="3" fillId="4" fontId="3" numFmtId="167" xfId="0" applyAlignment="1" applyBorder="1" applyFont="1" applyNumberFormat="1">
      <alignment horizontal="center" readingOrder="0" shrinkToFit="0" vertical="center" wrapText="0"/>
    </xf>
    <xf borderId="4" fillId="5" fontId="6" numFmtId="1" xfId="0" applyAlignment="1" applyBorder="1" applyFill="1" applyFont="1" applyNumberFormat="1">
      <alignment horizontal="center" readingOrder="0" shrinkToFit="0" vertical="center" wrapText="0"/>
    </xf>
    <xf borderId="6" fillId="4" fontId="5" numFmtId="0" xfId="0" applyBorder="1" applyFont="1"/>
    <xf borderId="6" fillId="3" fontId="5" numFmtId="0" xfId="0" applyBorder="1" applyFont="1"/>
    <xf borderId="2" fillId="4" fontId="4" numFmtId="1" xfId="0" applyAlignment="1" applyBorder="1" applyFont="1" applyNumberFormat="1">
      <alignment horizontal="center" shrinkToFit="0" wrapText="0"/>
    </xf>
    <xf borderId="2" fillId="3" fontId="4" numFmtId="1" xfId="0" applyAlignment="1" applyBorder="1" applyFont="1" applyNumberFormat="1">
      <alignment horizontal="center" shrinkToFit="0" wrapText="0"/>
    </xf>
    <xf borderId="4" fillId="4" fontId="4" numFmtId="1" xfId="0" applyAlignment="1" applyBorder="1" applyFont="1" applyNumberFormat="1">
      <alignment horizontal="center" readingOrder="0" shrinkToFit="0" vertical="center" wrapText="0"/>
    </xf>
    <xf borderId="7" fillId="6" fontId="7" numFmtId="0" xfId="0" applyAlignment="1" applyBorder="1" applyFill="1" applyFont="1">
      <alignment horizontal="center"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8" fillId="6" fontId="5" numFmtId="0" xfId="0" applyBorder="1" applyFont="1"/>
    <xf borderId="9" fillId="6" fontId="7" numFmtId="0" xfId="0" applyAlignment="1" applyBorder="1" applyFont="1">
      <alignment horizontal="center" readingOrder="0" shrinkToFit="0" vertical="center" wrapText="1"/>
    </xf>
    <xf borderId="10" fillId="6" fontId="8" numFmtId="0" xfId="0" applyAlignment="1" applyBorder="1" applyFont="1">
      <alignment horizontal="center" readingOrder="0" shrinkToFit="0" vertical="center" wrapText="1"/>
    </xf>
    <xf borderId="9" fillId="6" fontId="8" numFmtId="0" xfId="0" applyAlignment="1" applyBorder="1" applyFont="1">
      <alignment horizontal="center" readingOrder="0" shrinkToFit="0" vertical="center" wrapText="1"/>
    </xf>
    <xf borderId="11" fillId="6" fontId="8" numFmtId="0" xfId="0" applyAlignment="1" applyBorder="1" applyFont="1">
      <alignment horizontal="center" readingOrder="0" shrinkToFit="0" vertical="center" wrapText="1"/>
    </xf>
    <xf borderId="11" fillId="6" fontId="8" numFmtId="164" xfId="0" applyAlignment="1" applyBorder="1" applyFont="1" applyNumberFormat="1">
      <alignment horizontal="center" readingOrder="0" shrinkToFit="0" vertical="center" wrapText="1"/>
    </xf>
    <xf borderId="12" fillId="6" fontId="8" numFmtId="0" xfId="0" applyAlignment="1" applyBorder="1" applyFont="1">
      <alignment horizontal="center" readingOrder="0" shrinkToFit="0" vertical="center" wrapText="1"/>
    </xf>
    <xf borderId="13" fillId="6" fontId="9" numFmtId="0" xfId="0" applyAlignment="1" applyBorder="1" applyFont="1">
      <alignment horizontal="center" readingOrder="0" shrinkToFit="0" vertical="center" wrapText="1"/>
    </xf>
    <xf borderId="14" fillId="3" fontId="10" numFmtId="0" xfId="0" applyAlignment="1" applyBorder="1" applyFont="1">
      <alignment horizontal="center" readingOrder="0" shrinkToFit="0" vertical="center" wrapText="1"/>
    </xf>
    <xf borderId="15" fillId="3" fontId="5" numFmtId="0" xfId="0" applyBorder="1" applyFont="1"/>
    <xf borderId="10" fillId="3" fontId="10" numFmtId="166" xfId="0" applyAlignment="1" applyBorder="1" applyFont="1" applyNumberFormat="1">
      <alignment horizontal="center" readingOrder="0" shrinkToFit="0" vertical="center" wrapText="1"/>
    </xf>
    <xf borderId="16" fillId="3" fontId="10" numFmtId="0" xfId="0" applyAlignment="1" applyBorder="1" applyFont="1">
      <alignment horizontal="center" readingOrder="0" shrinkToFit="0" vertical="center" wrapText="1"/>
    </xf>
    <xf borderId="16" fillId="3" fontId="10" numFmtId="166" xfId="0" applyAlignment="1" applyBorder="1" applyFont="1" applyNumberFormat="1">
      <alignment horizontal="center" readingOrder="0" shrinkToFit="0" wrapText="1"/>
    </xf>
    <xf borderId="17" fillId="3" fontId="11" numFmtId="0" xfId="0" applyAlignment="1" applyBorder="1" applyFont="1">
      <alignment horizontal="center" readingOrder="0" shrinkToFit="0" vertical="center" wrapText="1"/>
    </xf>
    <xf borderId="10" fillId="3" fontId="11" numFmtId="164" xfId="0" applyAlignment="1" applyBorder="1" applyFont="1" applyNumberFormat="1">
      <alignment horizontal="center" readingOrder="0" shrinkToFit="0" vertical="center" wrapText="1"/>
    </xf>
    <xf borderId="17" fillId="3" fontId="11" numFmtId="166" xfId="0" applyAlignment="1" applyBorder="1" applyFont="1" applyNumberFormat="1">
      <alignment horizontal="center" readingOrder="0" shrinkToFit="0" vertical="center" wrapText="1"/>
    </xf>
    <xf borderId="8" fillId="3" fontId="10" numFmtId="167" xfId="0" applyAlignment="1" applyBorder="1" applyFont="1" applyNumberFormat="1">
      <alignment horizontal="center" shrinkToFit="0" vertical="center" wrapText="1"/>
    </xf>
    <xf borderId="17" fillId="3" fontId="11" numFmtId="167" xfId="0" applyAlignment="1" applyBorder="1" applyFont="1" applyNumberFormat="1">
      <alignment horizontal="center" readingOrder="0" shrinkToFit="0" vertical="center" wrapText="1"/>
    </xf>
    <xf borderId="7" fillId="7" fontId="5" numFmtId="0" xfId="0" applyBorder="1" applyFill="1" applyFont="1"/>
    <xf borderId="18" fillId="7" fontId="5" numFmtId="0" xfId="0" applyBorder="1" applyFont="1"/>
    <xf borderId="8" fillId="7" fontId="5" numFmtId="0" xfId="0" applyBorder="1" applyFont="1"/>
    <xf borderId="10" fillId="7" fontId="5" numFmtId="0" xfId="0" applyBorder="1" applyFont="1"/>
    <xf borderId="19" fillId="7" fontId="11" numFmtId="0" xfId="0" applyAlignment="1" applyBorder="1" applyFont="1">
      <alignment horizontal="center" readingOrder="0" shrinkToFit="0" vertical="center" wrapText="1"/>
    </xf>
    <xf borderId="19" fillId="7" fontId="11" numFmtId="168" xfId="0" applyAlignment="1" applyBorder="1" applyFont="1" applyNumberFormat="1">
      <alignment horizontal="center" readingOrder="0" shrinkToFit="0" vertical="center" wrapText="1"/>
    </xf>
    <xf borderId="10" fillId="7" fontId="11" numFmtId="164" xfId="0" applyAlignment="1" applyBorder="1" applyFont="1" applyNumberFormat="1">
      <alignment horizontal="center" readingOrder="0" shrinkToFit="0" vertical="center" wrapText="1"/>
    </xf>
    <xf borderId="0" fillId="7" fontId="12" numFmtId="166" xfId="0" applyAlignment="1" applyFont="1" applyNumberFormat="1">
      <alignment readingOrder="0"/>
    </xf>
    <xf borderId="17" fillId="7" fontId="11" numFmtId="167" xfId="0" applyAlignment="1" applyBorder="1" applyFont="1" applyNumberFormat="1">
      <alignment horizontal="center" readingOrder="0" shrinkToFit="0" vertical="center" wrapText="1"/>
    </xf>
    <xf borderId="7" fillId="3" fontId="5" numFmtId="0" xfId="0" applyBorder="1" applyFont="1"/>
    <xf borderId="18" fillId="3" fontId="5" numFmtId="0" xfId="0" applyBorder="1" applyFont="1"/>
    <xf borderId="8" fillId="3" fontId="5" numFmtId="0" xfId="0" applyBorder="1" applyFont="1"/>
    <xf borderId="10" fillId="3" fontId="5" numFmtId="0" xfId="0" applyBorder="1" applyFont="1"/>
    <xf borderId="19" fillId="3" fontId="11" numFmtId="0" xfId="0" applyAlignment="1" applyBorder="1" applyFont="1">
      <alignment horizontal="center" readingOrder="0" shrinkToFit="0" vertical="center" wrapText="1"/>
    </xf>
    <xf borderId="19" fillId="3" fontId="11" numFmtId="166" xfId="0" applyAlignment="1" applyBorder="1" applyFont="1" applyNumberFormat="1">
      <alignment horizontal="center" readingOrder="0" shrinkToFit="0" vertical="center" wrapText="1"/>
    </xf>
    <xf borderId="19" fillId="7" fontId="11" numFmtId="166" xfId="0" applyAlignment="1" applyBorder="1" applyFont="1" applyNumberFormat="1">
      <alignment horizontal="center" readingOrder="0" shrinkToFit="0" vertical="center" wrapText="1"/>
    </xf>
    <xf borderId="20" fillId="3" fontId="5" numFmtId="0" xfId="0" applyBorder="1" applyFont="1"/>
    <xf borderId="21" fillId="3" fontId="5" numFmtId="0" xfId="0" applyBorder="1" applyFont="1"/>
    <xf borderId="9" fillId="3" fontId="5" numFmtId="0" xfId="0" applyBorder="1" applyFont="1"/>
    <xf borderId="22" fillId="3" fontId="5" numFmtId="0" xfId="0" applyBorder="1" applyFont="1"/>
    <xf borderId="11" fillId="3" fontId="5" numFmtId="0" xfId="0" applyBorder="1" applyFont="1"/>
    <xf borderId="23" fillId="3" fontId="11" numFmtId="0" xfId="0" applyAlignment="1" applyBorder="1" applyFont="1">
      <alignment horizontal="center" readingOrder="0" shrinkToFit="0" vertical="center" wrapText="1"/>
    </xf>
    <xf borderId="11" fillId="3" fontId="11" numFmtId="164" xfId="0" applyAlignment="1" applyBorder="1" applyFont="1" applyNumberFormat="1">
      <alignment horizontal="center" readingOrder="0" shrinkToFit="0" vertical="center" wrapText="1"/>
    </xf>
    <xf borderId="23" fillId="3" fontId="11" numFmtId="166" xfId="0" applyAlignment="1" applyBorder="1" applyFont="1" applyNumberFormat="1">
      <alignment horizontal="center" readingOrder="0" shrinkToFit="0" vertical="center" wrapText="1"/>
    </xf>
    <xf borderId="14" fillId="7" fontId="10" numFmtId="0" xfId="0" applyAlignment="1" applyBorder="1" applyFont="1">
      <alignment horizontal="center" readingOrder="0" shrinkToFit="0" vertical="center" wrapText="1"/>
    </xf>
    <xf borderId="15" fillId="7" fontId="5" numFmtId="0" xfId="0" applyBorder="1" applyFont="1"/>
    <xf borderId="16" fillId="7" fontId="10" numFmtId="166" xfId="0" applyAlignment="1" applyBorder="1" applyFont="1" applyNumberFormat="1">
      <alignment horizontal="center" readingOrder="0" shrinkToFit="0" vertical="center" wrapText="1"/>
    </xf>
    <xf borderId="16" fillId="7" fontId="10" numFmtId="0" xfId="0" applyAlignment="1" applyBorder="1" applyFont="1">
      <alignment horizontal="center" readingOrder="0" shrinkToFit="0" vertical="center" wrapText="1"/>
    </xf>
    <xf borderId="16" fillId="7" fontId="13" numFmtId="166" xfId="0" applyAlignment="1" applyBorder="1" applyFont="1" applyNumberFormat="1">
      <alignment horizontal="center" readingOrder="0" shrinkToFit="0" vertical="center" wrapText="1"/>
    </xf>
    <xf borderId="17" fillId="7" fontId="11" numFmtId="0" xfId="0" applyAlignment="1" applyBorder="1" applyFont="1">
      <alignment horizontal="center" readingOrder="0" shrinkToFit="0" vertical="center" wrapText="1"/>
    </xf>
    <xf borderId="17" fillId="7" fontId="11" numFmtId="49" xfId="0" applyAlignment="1" applyBorder="1" applyFont="1" applyNumberFormat="1">
      <alignment horizontal="center" readingOrder="0" shrinkToFit="0" vertical="center" wrapText="1"/>
    </xf>
    <xf borderId="17" fillId="7" fontId="11" numFmtId="4" xfId="0" applyAlignment="1" applyBorder="1" applyFont="1" applyNumberFormat="1">
      <alignment horizontal="center" readingOrder="0" shrinkToFit="0" vertical="center" wrapText="1"/>
    </xf>
    <xf borderId="8" fillId="7" fontId="10" numFmtId="167" xfId="0" applyAlignment="1" applyBorder="1" applyFont="1" applyNumberFormat="1">
      <alignment horizontal="center" shrinkToFit="0" vertical="center" wrapText="1"/>
    </xf>
    <xf borderId="22" fillId="3" fontId="10" numFmtId="166" xfId="0" applyAlignment="1" applyBorder="1" applyFont="1" applyNumberFormat="1">
      <alignment horizontal="center" readingOrder="0" shrinkToFit="0" vertical="center" wrapText="1"/>
    </xf>
    <xf borderId="22" fillId="7" fontId="10" numFmtId="166" xfId="0" applyAlignment="1" applyBorder="1" applyFont="1" applyNumberFormat="1">
      <alignment horizontal="center" readingOrder="0" shrinkToFit="0" vertical="center" wrapText="1"/>
    </xf>
    <xf borderId="20" fillId="7" fontId="5" numFmtId="0" xfId="0" applyBorder="1" applyFont="1"/>
    <xf borderId="21" fillId="7" fontId="5" numFmtId="0" xfId="0" applyBorder="1" applyFont="1"/>
    <xf borderId="9" fillId="7" fontId="5" numFmtId="0" xfId="0" applyBorder="1" applyFont="1"/>
    <xf borderId="22" fillId="7" fontId="5" numFmtId="0" xfId="0" applyBorder="1" applyFont="1"/>
    <xf borderId="11" fillId="7" fontId="5" numFmtId="0" xfId="0" applyBorder="1" applyFont="1"/>
    <xf borderId="23" fillId="7" fontId="11" numFmtId="0" xfId="0" applyAlignment="1" applyBorder="1" applyFont="1">
      <alignment horizontal="center" readingOrder="0" shrinkToFit="0" vertical="center" wrapText="1"/>
    </xf>
    <xf borderId="11" fillId="7" fontId="11" numFmtId="164" xfId="0" applyAlignment="1" applyBorder="1" applyFont="1" applyNumberFormat="1">
      <alignment horizontal="center" readingOrder="0" shrinkToFit="0" vertical="center" wrapText="1"/>
    </xf>
    <xf borderId="23" fillId="7" fontId="11" numFmtId="166" xfId="0" applyAlignment="1" applyBorder="1" applyFont="1" applyNumberFormat="1">
      <alignment horizontal="center" readingOrder="0" shrinkToFit="0" vertical="center" wrapText="1"/>
    </xf>
    <xf borderId="8" fillId="6" fontId="8" numFmtId="0" xfId="0" applyAlignment="1" applyBorder="1" applyFont="1">
      <alignment horizontal="center" readingOrder="0" shrinkToFit="0" vertical="center" wrapText="1"/>
    </xf>
    <xf borderId="10" fillId="6" fontId="8" numFmtId="166" xfId="0" applyAlignment="1" applyBorder="1" applyFont="1" applyNumberFormat="1">
      <alignment horizontal="center" readingOrder="0" shrinkToFit="0" vertical="center" wrapText="1"/>
    </xf>
    <xf borderId="8" fillId="6" fontId="8" numFmtId="49" xfId="0" applyAlignment="1" applyBorder="1" applyFont="1" applyNumberFormat="1">
      <alignment horizontal="center" readingOrder="0" shrinkToFit="0" vertical="center" wrapText="1"/>
    </xf>
    <xf borderId="24" fillId="8" fontId="14" numFmtId="166" xfId="0" applyAlignment="1" applyBorder="1" applyFill="1" applyFont="1" applyNumberFormat="1">
      <alignment horizontal="center" shrinkToFit="0" wrapText="1"/>
    </xf>
    <xf borderId="25" fillId="8" fontId="14" numFmtId="166" xfId="0" applyAlignment="1" applyBorder="1" applyFont="1" applyNumberFormat="1">
      <alignment horizontal="center" shrinkToFit="0" wrapText="1"/>
    </xf>
    <xf borderId="25" fillId="8" fontId="11" numFmtId="166" xfId="0" applyAlignment="1" applyBorder="1" applyFont="1" applyNumberFormat="1">
      <alignment horizontal="center" shrinkToFit="0" wrapText="1"/>
    </xf>
    <xf borderId="25" fillId="8" fontId="15" numFmtId="166" xfId="0" applyAlignment="1" applyBorder="1" applyFont="1" applyNumberFormat="1">
      <alignment horizontal="center" shrinkToFit="0" wrapText="0"/>
    </xf>
    <xf borderId="25" fillId="8" fontId="10" numFmtId="49" xfId="0" applyAlignment="1" applyBorder="1" applyFont="1" applyNumberFormat="1">
      <alignment horizontal="center" readingOrder="0" shrinkToFit="0" vertical="center" wrapText="1"/>
    </xf>
    <xf borderId="25" fillId="8" fontId="10" numFmtId="166" xfId="0" applyAlignment="1" applyBorder="1" applyFont="1" applyNumberFormat="1">
      <alignment horizontal="center" readingOrder="0" shrinkToFit="0" vertical="center" wrapText="1"/>
    </xf>
    <xf borderId="26" fillId="8" fontId="10" numFmtId="166" xfId="0" applyAlignment="1" applyBorder="1" applyFont="1" applyNumberFormat="1">
      <alignment horizontal="center" readingOrder="0" shrinkToFit="0" vertical="center" wrapText="1"/>
    </xf>
    <xf borderId="27" fillId="7" fontId="5" numFmtId="0" xfId="0" applyBorder="1" applyFont="1"/>
    <xf borderId="0" fillId="8" fontId="10" numFmtId="49" xfId="0" applyAlignment="1" applyFont="1" applyNumberFormat="1">
      <alignment horizontal="center" readingOrder="0" shrinkToFit="0" vertical="center" wrapText="1"/>
    </xf>
    <xf borderId="28" fillId="8" fontId="10" numFmtId="166" xfId="0" applyAlignment="1" applyBorder="1" applyFont="1" applyNumberFormat="1">
      <alignment horizontal="center" readingOrder="0" shrinkToFit="0" vertical="center" wrapText="1"/>
    </xf>
    <xf borderId="27" fillId="3" fontId="5" numFmtId="0" xfId="0" applyBorder="1" applyFont="1"/>
    <xf borderId="27" fillId="7" fontId="14" numFmtId="166" xfId="0" applyAlignment="1" applyBorder="1" applyFont="1" applyNumberFormat="1">
      <alignment horizontal="center" shrinkToFit="0" wrapText="1"/>
    </xf>
    <xf borderId="0" fillId="7" fontId="14" numFmtId="166" xfId="0" applyAlignment="1" applyFont="1" applyNumberFormat="1">
      <alignment horizontal="center" shrinkToFit="0" wrapText="1"/>
    </xf>
    <xf borderId="0" fillId="7" fontId="11" numFmtId="166" xfId="0" applyAlignment="1" applyFont="1" applyNumberFormat="1">
      <alignment horizontal="center" shrinkToFit="0" wrapText="1"/>
    </xf>
    <xf borderId="0" fillId="7" fontId="15" numFmtId="166" xfId="0" applyAlignment="1" applyFont="1" applyNumberFormat="1">
      <alignment horizontal="center" shrinkToFit="0" wrapText="0"/>
    </xf>
    <xf borderId="0" fillId="7" fontId="10" numFmtId="49" xfId="0" applyAlignment="1" applyFont="1" applyNumberFormat="1">
      <alignment horizontal="center" readingOrder="0" shrinkToFit="0" vertical="center" wrapText="1"/>
    </xf>
    <xf borderId="28" fillId="7" fontId="10" numFmtId="166" xfId="0" applyAlignment="1" applyBorder="1" applyFont="1" applyNumberFormat="1">
      <alignment horizontal="center" readingOrder="0" shrinkToFit="0" vertical="center" wrapText="1"/>
    </xf>
    <xf borderId="0" fillId="3" fontId="10" numFmtId="49" xfId="0" applyAlignment="1" applyFont="1" applyNumberFormat="1">
      <alignment horizontal="center" readingOrder="0" shrinkToFit="0" vertical="center" wrapText="1"/>
    </xf>
    <xf borderId="28" fillId="3" fontId="10" numFmtId="166" xfId="0" applyAlignment="1" applyBorder="1" applyFont="1" applyNumberFormat="1">
      <alignment horizontal="center" readingOrder="0" shrinkToFit="0" vertical="center" wrapText="1"/>
    </xf>
    <xf borderId="27" fillId="8" fontId="14" numFmtId="166" xfId="0" applyAlignment="1" applyBorder="1" applyFont="1" applyNumberFormat="1">
      <alignment horizontal="center" shrinkToFit="0" wrapText="1"/>
    </xf>
    <xf borderId="0" fillId="8" fontId="14" numFmtId="166" xfId="0" applyAlignment="1" applyFont="1" applyNumberFormat="1">
      <alignment horizontal="center" shrinkToFit="0" wrapText="1"/>
    </xf>
    <xf borderId="0" fillId="8" fontId="11" numFmtId="166" xfId="0" applyAlignment="1" applyFont="1" applyNumberFormat="1">
      <alignment horizontal="center" shrinkToFit="0" wrapText="1"/>
    </xf>
    <xf borderId="0" fillId="8" fontId="15" numFmtId="166" xfId="0" applyAlignment="1" applyFont="1" applyNumberFormat="1">
      <alignment horizontal="center" shrinkToFit="0" wrapText="0"/>
    </xf>
    <xf borderId="29" fillId="3" fontId="5" numFmtId="0" xfId="0" applyBorder="1" applyFont="1"/>
    <xf borderId="30" fillId="3" fontId="5" numFmtId="0" xfId="0" applyBorder="1" applyFont="1"/>
    <xf borderId="30" fillId="8" fontId="10" numFmtId="49" xfId="0" applyAlignment="1" applyBorder="1" applyFont="1" applyNumberFormat="1">
      <alignment horizontal="center" readingOrder="0" shrinkToFit="0" vertical="center" wrapText="1"/>
    </xf>
    <xf borderId="31" fillId="8" fontId="10" numFmtId="166" xfId="0" applyAlignment="1" applyBorder="1" applyFont="1" applyNumberFormat="1">
      <alignment horizontal="center" readingOrder="0" shrinkToFit="0" vertical="center" wrapText="1"/>
    </xf>
    <xf borderId="24" fillId="7" fontId="14" numFmtId="166" xfId="0" applyAlignment="1" applyBorder="1" applyFont="1" applyNumberFormat="1">
      <alignment horizontal="center" shrinkToFit="0" wrapText="1"/>
    </xf>
    <xf borderId="25" fillId="7" fontId="14" numFmtId="166" xfId="0" applyAlignment="1" applyBorder="1" applyFont="1" applyNumberFormat="1">
      <alignment horizontal="center" shrinkToFit="0" wrapText="1"/>
    </xf>
    <xf borderId="25" fillId="7" fontId="15" numFmtId="166" xfId="0" applyAlignment="1" applyBorder="1" applyFont="1" applyNumberFormat="1">
      <alignment horizontal="center" readingOrder="0" shrinkToFit="0" wrapText="0"/>
    </xf>
    <xf borderId="25" fillId="7" fontId="10" numFmtId="49" xfId="0" applyAlignment="1" applyBorder="1" applyFont="1" applyNumberFormat="1">
      <alignment horizontal="center" readingOrder="0" shrinkToFit="0" vertical="center" wrapText="1"/>
    </xf>
    <xf borderId="25" fillId="7" fontId="14" numFmtId="166" xfId="0" applyAlignment="1" applyBorder="1" applyFont="1" applyNumberFormat="1">
      <alignment horizontal="center" readingOrder="0" shrinkToFit="0" wrapText="1"/>
    </xf>
    <xf borderId="25" fillId="7" fontId="10" numFmtId="166" xfId="0" applyAlignment="1" applyBorder="1" applyFont="1" applyNumberFormat="1">
      <alignment horizontal="center" readingOrder="0" shrinkToFit="0" vertical="center" wrapText="1"/>
    </xf>
    <xf borderId="26" fillId="7" fontId="10" numFmtId="166" xfId="0" applyAlignment="1" applyBorder="1" applyFont="1" applyNumberFormat="1">
      <alignment horizontal="center" readingOrder="0" shrinkToFit="0" vertical="center" wrapText="1"/>
    </xf>
    <xf borderId="0" fillId="3" fontId="10" numFmtId="166" xfId="0" applyAlignment="1" applyFont="1" applyNumberFormat="1">
      <alignment horizontal="center" readingOrder="0" shrinkToFit="0" vertical="center" wrapText="1"/>
    </xf>
    <xf borderId="0" fillId="7" fontId="10" numFmtId="166" xfId="0" applyAlignment="1" applyFont="1" applyNumberFormat="1">
      <alignment horizontal="center" readingOrder="0" shrinkToFit="0" vertical="center" wrapText="1"/>
    </xf>
    <xf borderId="29" fillId="7" fontId="5" numFmtId="0" xfId="0" applyBorder="1" applyFont="1"/>
    <xf borderId="30" fillId="7" fontId="5" numFmtId="0" xfId="0" applyBorder="1" applyFont="1"/>
    <xf borderId="30" fillId="7" fontId="10" numFmtId="49" xfId="0" applyAlignment="1" applyBorder="1" applyFont="1" applyNumberFormat="1">
      <alignment horizontal="center" readingOrder="0" shrinkToFit="0" vertical="center" wrapText="1"/>
    </xf>
    <xf borderId="30" fillId="7" fontId="10" numFmtId="166" xfId="0" applyAlignment="1" applyBorder="1" applyFont="1" applyNumberFormat="1">
      <alignment horizontal="center" readingOrder="0" shrinkToFit="0" vertical="center" wrapText="1"/>
    </xf>
    <xf borderId="31" fillId="7" fontId="10" numFmtId="166" xfId="0" applyAlignment="1" applyBorder="1" applyFont="1" applyNumberFormat="1">
      <alignment horizontal="center" readingOrder="0" shrinkToFit="0" vertical="center" wrapText="1"/>
    </xf>
    <xf borderId="8" fillId="8" fontId="14" numFmtId="166" xfId="0" applyAlignment="1" applyBorder="1" applyFont="1" applyNumberFormat="1">
      <alignment horizontal="center" shrinkToFit="0" wrapText="1"/>
    </xf>
    <xf borderId="18" fillId="8" fontId="14" numFmtId="166" xfId="0" applyAlignment="1" applyBorder="1" applyFont="1" applyNumberFormat="1">
      <alignment horizontal="center" readingOrder="0" shrinkToFit="0" wrapText="1"/>
    </xf>
    <xf borderId="18" fillId="8" fontId="15" numFmtId="166" xfId="0" applyAlignment="1" applyBorder="1" applyFont="1" applyNumberFormat="1">
      <alignment horizontal="center" readingOrder="0" shrinkToFit="0" wrapText="0"/>
    </xf>
    <xf borderId="22" fillId="8" fontId="10" numFmtId="49" xfId="0" applyAlignment="1" applyBorder="1" applyFont="1" applyNumberFormat="1">
      <alignment horizontal="center" readingOrder="0" shrinkToFit="0" vertical="center" wrapText="1"/>
    </xf>
    <xf borderId="22" fillId="8" fontId="10" numFmtId="166" xfId="0" applyAlignment="1" applyBorder="1" applyFont="1" applyNumberFormat="1">
      <alignment horizontal="center" readingOrder="0" shrinkToFit="0" vertical="center" wrapText="1"/>
    </xf>
    <xf borderId="10" fillId="8" fontId="10" numFmtId="49" xfId="0" applyAlignment="1" applyBorder="1" applyFont="1" applyNumberFormat="1">
      <alignment horizontal="center" readingOrder="0" shrinkToFit="0" vertical="center" wrapText="1"/>
    </xf>
    <xf borderId="10" fillId="8" fontId="10" numFmtId="166" xfId="0" applyAlignment="1" applyBorder="1" applyFont="1" applyNumberFormat="1">
      <alignment horizontal="center" readingOrder="0" shrinkToFit="0" vertical="center" wrapText="1"/>
    </xf>
    <xf borderId="15" fillId="7" fontId="14" numFmtId="166" xfId="0" applyAlignment="1" applyBorder="1" applyFont="1" applyNumberFormat="1">
      <alignment horizontal="center" shrinkToFit="0" wrapText="1"/>
    </xf>
    <xf borderId="14" fillId="7" fontId="14" numFmtId="166" xfId="0" applyAlignment="1" applyBorder="1" applyFont="1" applyNumberFormat="1">
      <alignment horizontal="center" readingOrder="0" shrinkToFit="0" wrapText="1"/>
    </xf>
    <xf borderId="14" fillId="7" fontId="15" numFmtId="166" xfId="0" applyAlignment="1" applyBorder="1" applyFont="1" applyNumberFormat="1">
      <alignment horizontal="center" readingOrder="0" shrinkToFit="0" wrapText="0"/>
    </xf>
    <xf borderId="17" fillId="7" fontId="10" numFmtId="49" xfId="0" applyAlignment="1" applyBorder="1" applyFont="1" applyNumberFormat="1">
      <alignment horizontal="center" readingOrder="0" shrinkToFit="0" vertical="center" wrapText="1"/>
    </xf>
    <xf borderId="17" fillId="7" fontId="10" numFmtId="166" xfId="0" applyAlignment="1" applyBorder="1" applyFont="1" applyNumberFormat="1">
      <alignment horizontal="center" readingOrder="0" shrinkToFit="0" vertical="center" wrapText="1"/>
    </xf>
    <xf borderId="22" fillId="3" fontId="10" numFmtId="49" xfId="0" applyAlignment="1" applyBorder="1" applyFont="1" applyNumberFormat="1">
      <alignment horizontal="center" readingOrder="0" shrinkToFit="0" vertical="center" wrapText="1"/>
    </xf>
    <xf borderId="22" fillId="7" fontId="10" numFmtId="49" xfId="0" applyAlignment="1" applyBorder="1" applyFont="1" applyNumberFormat="1">
      <alignment horizontal="center" readingOrder="0" shrinkToFit="0" vertical="center" wrapText="1"/>
    </xf>
    <xf borderId="10" fillId="7" fontId="10" numFmtId="49" xfId="0" applyAlignment="1" applyBorder="1" applyFont="1" applyNumberFormat="1">
      <alignment horizontal="center" readingOrder="0" shrinkToFit="0" vertical="center" wrapText="1"/>
    </xf>
    <xf borderId="10" fillId="7" fontId="10" numFmtId="166" xfId="0" applyAlignment="1" applyBorder="1" applyFont="1" applyNumberFormat="1">
      <alignment horizontal="center" readingOrder="0" shrinkToFit="0" vertical="center" wrapText="1"/>
    </xf>
    <xf borderId="15" fillId="8" fontId="14" numFmtId="166" xfId="0" applyAlignment="1" applyBorder="1" applyFont="1" applyNumberFormat="1">
      <alignment horizontal="center" shrinkToFit="0" wrapText="0"/>
    </xf>
    <xf borderId="14" fillId="8" fontId="14" numFmtId="166" xfId="0" applyAlignment="1" applyBorder="1" applyFont="1" applyNumberFormat="1">
      <alignment horizontal="center" readingOrder="0" shrinkToFit="0" wrapText="1"/>
    </xf>
    <xf borderId="14" fillId="8" fontId="15" numFmtId="166" xfId="0" applyAlignment="1" applyBorder="1" applyFont="1" applyNumberFormat="1">
      <alignment horizontal="center" readingOrder="0" shrinkToFit="0" wrapText="0"/>
    </xf>
    <xf borderId="17" fillId="8" fontId="10" numFmtId="49" xfId="0" applyAlignment="1" applyBorder="1" applyFont="1" applyNumberFormat="1">
      <alignment horizontal="center" readingOrder="0" shrinkToFit="0" vertical="center" wrapText="1"/>
    </xf>
    <xf borderId="17" fillId="8" fontId="10" numFmtId="166" xfId="0" applyAlignment="1" applyBorder="1" applyFont="1" applyNumberFormat="1">
      <alignment horizontal="center" readingOrder="0" shrinkToFit="0" vertical="center" wrapText="1"/>
    </xf>
    <xf borderId="14" fillId="7" fontId="14" numFmtId="166" xfId="0" applyAlignment="1" applyBorder="1" applyFont="1" applyNumberFormat="1">
      <alignment horizontal="center" shrinkToFit="0" wrapText="1"/>
    </xf>
    <xf borderId="15" fillId="8" fontId="14" numFmtId="166" xfId="0" applyAlignment="1" applyBorder="1" applyFont="1" applyNumberFormat="1">
      <alignment horizontal="center" shrinkToFit="0" wrapText="1"/>
    </xf>
    <xf borderId="14" fillId="8" fontId="14" numFmtId="166" xfId="0" applyAlignment="1" applyBorder="1" applyFont="1" applyNumberFormat="1">
      <alignment horizontal="center" shrinkToFit="0" wrapText="1"/>
    </xf>
    <xf borderId="14" fillId="7" fontId="15" numFmtId="166" xfId="0" applyAlignment="1" applyBorder="1" applyFont="1" applyNumberFormat="1">
      <alignment horizontal="center" shrinkToFit="0" wrapText="0"/>
    </xf>
    <xf borderId="18" fillId="3" fontId="14" numFmtId="166" xfId="0" applyAlignment="1" applyBorder="1" applyFont="1" applyNumberFormat="1">
      <alignment horizontal="center" shrinkToFit="0" wrapText="1"/>
    </xf>
    <xf borderId="21" fillId="7" fontId="14" numFmtId="166" xfId="0" applyAlignment="1" applyBorder="1" applyFont="1" applyNumberFormat="1">
      <alignment horizontal="center" shrinkToFit="0" wrapText="1"/>
    </xf>
    <xf borderId="16" fillId="3" fontId="10" numFmtId="166" xfId="0" applyAlignment="1" applyBorder="1" applyFont="1" applyNumberFormat="1">
      <alignment horizontal="center" shrinkToFit="0" wrapText="1"/>
    </xf>
    <xf borderId="17" fillId="3" fontId="10" numFmtId="49" xfId="0" applyAlignment="1" applyBorder="1" applyFont="1" applyNumberFormat="1">
      <alignment horizontal="center" readingOrder="0" shrinkToFit="0" vertical="center" wrapText="1"/>
    </xf>
    <xf borderId="17" fillId="3" fontId="10" numFmtId="166" xfId="0" applyAlignment="1" applyBorder="1" applyFont="1" applyNumberFormat="1">
      <alignment horizontal="center" readingOrder="0" shrinkToFit="0" vertical="center" wrapText="1"/>
    </xf>
    <xf borderId="10" fillId="3" fontId="10" numFmtId="49" xfId="0" applyAlignment="1" applyBorder="1" applyFont="1" applyNumberFormat="1">
      <alignment horizontal="center" readingOrder="0" shrinkToFit="0" vertical="center" wrapText="1"/>
    </xf>
    <xf borderId="16" fillId="7" fontId="10" numFmtId="166" xfId="0" applyAlignment="1" applyBorder="1" applyFont="1" applyNumberFormat="1">
      <alignment horizontal="center" shrinkToFit="0" wrapText="1"/>
    </xf>
    <xf borderId="17" fillId="2" fontId="10" numFmtId="49" xfId="0" applyAlignment="1" applyBorder="1" applyFont="1" applyNumberFormat="1">
      <alignment horizontal="center" readingOrder="0" shrinkToFit="0" vertical="center" wrapText="1"/>
    </xf>
    <xf borderId="17" fillId="7" fontId="11" numFmtId="166" xfId="0" applyAlignment="1" applyBorder="1" applyFont="1" applyNumberFormat="1">
      <alignment horizontal="center" shrinkToFit="0" wrapText="1"/>
    </xf>
    <xf borderId="17" fillId="7" fontId="11" numFmtId="166" xfId="0" applyAlignment="1" applyBorder="1" applyFont="1" applyNumberFormat="1">
      <alignment horizontal="center" readingOrder="0" shrinkToFit="0" wrapText="1"/>
    </xf>
    <xf borderId="22" fillId="2" fontId="10" numFmtId="49" xfId="0" applyAlignment="1" applyBorder="1" applyFont="1" applyNumberFormat="1">
      <alignment horizontal="center" readingOrder="0" shrinkToFit="0" vertical="center" wrapText="1"/>
    </xf>
    <xf borderId="19" fillId="3" fontId="11" numFmtId="166" xfId="0" applyAlignment="1" applyBorder="1" applyFont="1" applyNumberFormat="1">
      <alignment horizontal="center" shrinkToFit="0" wrapText="1"/>
    </xf>
    <xf borderId="19" fillId="3" fontId="11" numFmtId="166" xfId="0" applyAlignment="1" applyBorder="1" applyFont="1" applyNumberFormat="1">
      <alignment horizontal="center" readingOrder="0" shrinkToFit="0" wrapText="1"/>
    </xf>
    <xf borderId="22" fillId="2" fontId="10" numFmtId="166" xfId="0" applyAlignment="1" applyBorder="1" applyFont="1" applyNumberFormat="1">
      <alignment horizontal="center" readingOrder="0" shrinkToFit="0" vertical="center" wrapText="1"/>
    </xf>
    <xf borderId="10" fillId="2" fontId="10" numFmtId="49" xfId="0" applyAlignment="1" applyBorder="1" applyFont="1" applyNumberFormat="1">
      <alignment horizontal="center" readingOrder="0" shrinkToFit="0" vertical="center" wrapText="1"/>
    </xf>
    <xf borderId="10" fillId="2" fontId="10" numFmtId="166" xfId="0" applyAlignment="1" applyBorder="1" applyFont="1" applyNumberFormat="1">
      <alignment horizontal="center" readingOrder="0" shrinkToFit="0" vertical="center" wrapText="1"/>
    </xf>
    <xf borderId="17" fillId="3" fontId="11" numFmtId="166" xfId="0" applyAlignment="1" applyBorder="1" applyFont="1" applyNumberFormat="1">
      <alignment horizontal="center" shrinkToFit="0" wrapText="1"/>
    </xf>
    <xf borderId="19" fillId="7" fontId="11" numFmtId="166" xfId="0" applyAlignment="1" applyBorder="1" applyFont="1" applyNumberFormat="1">
      <alignment horizontal="center" shrinkToFit="0" wrapText="1"/>
    </xf>
    <xf borderId="17" fillId="2" fontId="10" numFmtId="166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</font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FBBC04"/>
          <bgColor rgb="FFFBBC04"/>
        </patternFill>
      </fill>
      <border/>
    </dxf>
    <dxf>
      <font>
        <b/>
        <i/>
      </font>
      <fill>
        <patternFill patternType="solid">
          <fgColor rgb="FFFFC5D1"/>
          <bgColor rgb="FFFFC5D1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9B9B"/>
          <bgColor rgb="FFFF9B9B"/>
        </patternFill>
      </fill>
      <border/>
    </dxf>
  </dxfs>
  <tableStyles count="1">
    <tableStyle count="3" pivot="0" name="Fatture acquisto non di viagg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8" displayName="Table_1" name="Table_1" id="1">
  <tableColumns count="5">
    <tableColumn name="Data" id="1"/>
    <tableColumn name="cognome / Azienda" id="2"/>
    <tableColumn name="Oggetto dell'operazione" id="3"/>
    <tableColumn name="Entrate " id="4"/>
    <tableColumn name="Scontrino / fattura / rapportino" id="5"/>
  </tableColumns>
  <tableStyleInfo name="Fatture acquisto non di viagg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4.25"/>
    <col customWidth="1" min="3" max="3" width="28.0"/>
    <col customWidth="1" min="4" max="4" width="8.0"/>
    <col customWidth="1" min="5" max="5" width="21.0"/>
  </cols>
  <sheetData>
    <row r="1" ht="60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5">
        <v>45964.0</v>
      </c>
      <c r="B2" s="6" t="s">
        <v>5</v>
      </c>
      <c r="C2" s="6" t="s">
        <v>6</v>
      </c>
      <c r="D2" s="7">
        <v>350.03</v>
      </c>
      <c r="E2" s="6" t="s">
        <v>7</v>
      </c>
    </row>
    <row r="3">
      <c r="A3" s="5">
        <v>45964.0</v>
      </c>
      <c r="B3" s="8" t="s">
        <v>8</v>
      </c>
      <c r="C3" s="9" t="s">
        <v>9</v>
      </c>
      <c r="D3" s="10">
        <v>18.3</v>
      </c>
      <c r="E3" s="9" t="s">
        <v>10</v>
      </c>
    </row>
    <row r="4">
      <c r="A4" s="5">
        <v>45971.0</v>
      </c>
      <c r="B4" s="8" t="s">
        <v>8</v>
      </c>
      <c r="C4" s="9" t="s">
        <v>9</v>
      </c>
      <c r="D4" s="7">
        <v>40.03</v>
      </c>
      <c r="E4" s="6" t="s">
        <v>11</v>
      </c>
    </row>
    <row r="5">
      <c r="A5" s="11">
        <v>45974.0</v>
      </c>
      <c r="B5" s="8" t="s">
        <v>12</v>
      </c>
      <c r="C5" s="9" t="s">
        <v>13</v>
      </c>
      <c r="D5" s="10">
        <v>117.12</v>
      </c>
      <c r="E5" s="9" t="s">
        <v>14</v>
      </c>
    </row>
    <row r="6">
      <c r="A6" s="5">
        <v>45974.0</v>
      </c>
      <c r="B6" s="12" t="s">
        <v>15</v>
      </c>
      <c r="C6" s="9" t="s">
        <v>9</v>
      </c>
      <c r="D6" s="7">
        <v>43.39</v>
      </c>
      <c r="E6" s="6" t="s">
        <v>16</v>
      </c>
    </row>
    <row r="7">
      <c r="A7" s="13"/>
      <c r="B7" s="14"/>
      <c r="C7" s="15"/>
      <c r="D7" s="16"/>
      <c r="E7" s="15"/>
    </row>
    <row r="8">
      <c r="A8" s="17"/>
      <c r="B8" s="18"/>
      <c r="C8" s="19"/>
      <c r="D8" s="20"/>
      <c r="E8" s="1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3.0"/>
    <col customWidth="1" min="3" max="3" width="23.13"/>
    <col customWidth="1" min="4" max="4" width="19.63"/>
    <col customWidth="1" min="5" max="7" width="22.13"/>
  </cols>
  <sheetData>
    <row r="1" ht="21.0" customHeight="1">
      <c r="A1" s="21" t="s">
        <v>0</v>
      </c>
      <c r="B1" s="22" t="s">
        <v>17</v>
      </c>
      <c r="C1" s="23"/>
      <c r="D1" s="24" t="s">
        <v>18</v>
      </c>
      <c r="E1" s="24" t="s">
        <v>19</v>
      </c>
      <c r="F1" s="24" t="s">
        <v>18</v>
      </c>
      <c r="G1" s="24" t="s">
        <v>19</v>
      </c>
    </row>
    <row r="2" ht="21.0" customHeight="1">
      <c r="A2" s="25">
        <v>45962.0</v>
      </c>
      <c r="B2" s="26" t="s">
        <v>20</v>
      </c>
      <c r="C2" s="27"/>
      <c r="D2" s="28" t="s">
        <v>21</v>
      </c>
      <c r="E2" s="28" t="s">
        <v>22</v>
      </c>
      <c r="F2" s="28" t="s">
        <v>23</v>
      </c>
      <c r="G2" s="28" t="s">
        <v>24</v>
      </c>
    </row>
    <row r="3" ht="21.0" customHeight="1">
      <c r="A3" s="29">
        <v>45962.0</v>
      </c>
      <c r="B3" s="22" t="s">
        <v>25</v>
      </c>
      <c r="C3" s="23"/>
      <c r="D3" s="30" t="s">
        <v>26</v>
      </c>
      <c r="E3" s="31"/>
      <c r="F3" s="31"/>
      <c r="G3" s="23"/>
    </row>
    <row r="4" ht="21.0" customHeight="1">
      <c r="A4" s="25">
        <v>45962.0</v>
      </c>
      <c r="B4" s="26" t="s">
        <v>27</v>
      </c>
      <c r="C4" s="27"/>
      <c r="D4" s="30" t="s">
        <v>26</v>
      </c>
      <c r="E4" s="32"/>
      <c r="F4" s="32"/>
      <c r="G4" s="27"/>
    </row>
    <row r="5" ht="21.0" customHeight="1">
      <c r="A5" s="29">
        <v>45963.0</v>
      </c>
      <c r="B5" s="22" t="s">
        <v>20</v>
      </c>
      <c r="C5" s="23"/>
      <c r="D5" s="30" t="s">
        <v>26</v>
      </c>
      <c r="E5" s="31"/>
      <c r="F5" s="31"/>
      <c r="G5" s="23"/>
    </row>
    <row r="6" ht="21.0" customHeight="1">
      <c r="A6" s="25">
        <v>45963.0</v>
      </c>
      <c r="B6" s="26" t="s">
        <v>28</v>
      </c>
      <c r="C6" s="27"/>
      <c r="D6" s="30" t="s">
        <v>26</v>
      </c>
      <c r="E6" s="32"/>
      <c r="F6" s="32"/>
      <c r="G6" s="27"/>
    </row>
    <row r="7" ht="21.0" customHeight="1">
      <c r="A7" s="29">
        <v>45965.0</v>
      </c>
      <c r="B7" s="22" t="s">
        <v>29</v>
      </c>
      <c r="C7" s="23"/>
      <c r="D7" s="33" t="s">
        <v>23</v>
      </c>
      <c r="E7" s="33">
        <v>65.0</v>
      </c>
      <c r="F7" s="24"/>
      <c r="G7" s="24"/>
    </row>
    <row r="8" ht="21.0" customHeight="1">
      <c r="A8" s="25">
        <v>45966.0</v>
      </c>
      <c r="B8" s="26" t="s">
        <v>30</v>
      </c>
      <c r="C8" s="27"/>
      <c r="D8" s="30" t="s">
        <v>26</v>
      </c>
      <c r="E8" s="32"/>
      <c r="F8" s="32"/>
      <c r="G8" s="27"/>
    </row>
    <row r="9" ht="21.0" customHeight="1">
      <c r="A9" s="29">
        <v>45969.0</v>
      </c>
      <c r="B9" s="22" t="s">
        <v>31</v>
      </c>
      <c r="C9" s="23"/>
      <c r="D9" s="24" t="s">
        <v>32</v>
      </c>
      <c r="E9" s="24" t="s">
        <v>33</v>
      </c>
      <c r="F9" s="24"/>
      <c r="G9" s="24"/>
    </row>
    <row r="10" ht="21.0" customHeight="1">
      <c r="A10" s="25">
        <v>45969.0</v>
      </c>
      <c r="B10" s="26" t="s">
        <v>34</v>
      </c>
      <c r="C10" s="27"/>
      <c r="D10" s="30" t="s">
        <v>26</v>
      </c>
      <c r="E10" s="32"/>
      <c r="F10" s="32"/>
      <c r="G10" s="27"/>
    </row>
    <row r="11" ht="21.0" customHeight="1">
      <c r="A11" s="29">
        <v>45969.0</v>
      </c>
      <c r="B11" s="22" t="s">
        <v>35</v>
      </c>
      <c r="C11" s="23"/>
      <c r="D11" s="30" t="s">
        <v>26</v>
      </c>
      <c r="E11" s="31"/>
      <c r="F11" s="31"/>
      <c r="G11" s="23"/>
    </row>
    <row r="12" ht="21.0" customHeight="1">
      <c r="A12" s="25">
        <v>45969.0</v>
      </c>
      <c r="B12" s="26" t="s">
        <v>36</v>
      </c>
      <c r="C12" s="27"/>
      <c r="D12" s="28" t="s">
        <v>21</v>
      </c>
      <c r="E12" s="28">
        <v>531.0</v>
      </c>
      <c r="F12" s="28"/>
      <c r="G12" s="28"/>
    </row>
    <row r="13" ht="21.0" customHeight="1">
      <c r="A13" s="29">
        <v>45970.0</v>
      </c>
      <c r="B13" s="22" t="s">
        <v>31</v>
      </c>
      <c r="C13" s="23"/>
      <c r="D13" s="33" t="s">
        <v>23</v>
      </c>
      <c r="E13" s="33">
        <v>65.0</v>
      </c>
      <c r="F13" s="24"/>
      <c r="G13" s="24"/>
    </row>
    <row r="14" ht="21.0" customHeight="1">
      <c r="A14" s="25">
        <v>45970.0</v>
      </c>
      <c r="B14" s="26" t="s">
        <v>37</v>
      </c>
      <c r="C14" s="27"/>
      <c r="D14" s="30" t="s">
        <v>26</v>
      </c>
      <c r="E14" s="32"/>
      <c r="F14" s="32"/>
      <c r="G14" s="27"/>
    </row>
    <row r="15" ht="21.0" customHeight="1">
      <c r="A15" s="29">
        <v>45970.0</v>
      </c>
      <c r="B15" s="22" t="s">
        <v>38</v>
      </c>
      <c r="C15" s="23"/>
      <c r="D15" s="30" t="s">
        <v>26</v>
      </c>
      <c r="E15" s="31"/>
      <c r="F15" s="31"/>
      <c r="G15" s="23"/>
    </row>
    <row r="16" ht="21.0" customHeight="1">
      <c r="A16" s="25">
        <v>45973.0</v>
      </c>
      <c r="B16" s="26" t="s">
        <v>31</v>
      </c>
      <c r="C16" s="27"/>
      <c r="D16" s="30" t="s">
        <v>26</v>
      </c>
      <c r="E16" s="32"/>
      <c r="F16" s="32"/>
      <c r="G16" s="27"/>
    </row>
    <row r="17" ht="21.0" customHeight="1">
      <c r="A17" s="29">
        <v>45974.0</v>
      </c>
      <c r="B17" s="22" t="s">
        <v>31</v>
      </c>
      <c r="C17" s="23"/>
      <c r="D17" s="30" t="s">
        <v>26</v>
      </c>
      <c r="E17" s="31"/>
      <c r="F17" s="31"/>
      <c r="G17" s="23"/>
    </row>
    <row r="18" ht="21.0" customHeight="1">
      <c r="A18" s="25">
        <v>45975.0</v>
      </c>
      <c r="B18" s="26" t="s">
        <v>39</v>
      </c>
      <c r="C18" s="27"/>
      <c r="D18" s="28" t="s">
        <v>21</v>
      </c>
      <c r="E18" s="28">
        <v>534.0</v>
      </c>
      <c r="F18" s="28"/>
      <c r="G18" s="28"/>
    </row>
    <row r="19" ht="21.0" customHeight="1">
      <c r="A19" s="29">
        <v>45976.0</v>
      </c>
      <c r="B19" s="22" t="s">
        <v>40</v>
      </c>
      <c r="C19" s="23"/>
      <c r="D19" s="30" t="s">
        <v>26</v>
      </c>
      <c r="E19" s="31"/>
      <c r="F19" s="31"/>
      <c r="G19" s="23"/>
    </row>
    <row r="20" ht="21.0" customHeight="1">
      <c r="A20" s="25">
        <v>45976.0</v>
      </c>
      <c r="B20" s="26" t="s">
        <v>41</v>
      </c>
      <c r="C20" s="27"/>
      <c r="D20" s="30" t="s">
        <v>26</v>
      </c>
      <c r="E20" s="32"/>
      <c r="F20" s="32"/>
      <c r="G20" s="27"/>
    </row>
    <row r="21" ht="21.0" customHeight="1">
      <c r="A21" s="29">
        <v>45976.0</v>
      </c>
      <c r="B21" s="22" t="s">
        <v>42</v>
      </c>
      <c r="C21" s="23"/>
      <c r="D21" s="33" t="s">
        <v>23</v>
      </c>
      <c r="E21" s="24">
        <v>68.0</v>
      </c>
      <c r="F21" s="24"/>
      <c r="G21" s="24"/>
    </row>
    <row r="22" ht="21.0" customHeight="1">
      <c r="A22" s="25">
        <v>45977.0</v>
      </c>
      <c r="B22" s="26" t="s">
        <v>36</v>
      </c>
      <c r="C22" s="27"/>
      <c r="D22" s="28" t="s">
        <v>21</v>
      </c>
      <c r="E22" s="28">
        <v>539.0</v>
      </c>
      <c r="F22" s="28"/>
      <c r="G22" s="28"/>
    </row>
    <row r="23" ht="21.0" customHeight="1">
      <c r="A23" s="29">
        <v>45980.0</v>
      </c>
      <c r="B23" s="22" t="s">
        <v>29</v>
      </c>
      <c r="C23" s="23"/>
      <c r="D23" s="33" t="s">
        <v>23</v>
      </c>
      <c r="E23" s="24">
        <v>68.0</v>
      </c>
      <c r="F23" s="24"/>
      <c r="G23" s="24"/>
    </row>
    <row r="24" ht="21.0" customHeight="1">
      <c r="A24" s="25">
        <v>45982.0</v>
      </c>
      <c r="B24" s="26" t="s">
        <v>43</v>
      </c>
      <c r="C24" s="27"/>
      <c r="D24" s="30" t="s">
        <v>26</v>
      </c>
      <c r="E24" s="32"/>
      <c r="F24" s="32"/>
      <c r="G24" s="27"/>
    </row>
    <row r="25" ht="21.0" customHeight="1">
      <c r="A25" s="29">
        <v>45983.0</v>
      </c>
      <c r="B25" s="22" t="s">
        <v>44</v>
      </c>
      <c r="C25" s="23"/>
      <c r="D25" s="24" t="s">
        <v>45</v>
      </c>
      <c r="E25" s="24" t="s">
        <v>33</v>
      </c>
      <c r="F25" s="24"/>
      <c r="G25" s="24"/>
    </row>
    <row r="26" ht="21.0" customHeight="1">
      <c r="A26" s="25">
        <v>45983.0</v>
      </c>
      <c r="B26" s="26" t="s">
        <v>46</v>
      </c>
      <c r="C26" s="27"/>
      <c r="D26" s="34" t="s">
        <v>23</v>
      </c>
      <c r="E26" s="28">
        <v>68.0</v>
      </c>
      <c r="F26" s="28"/>
      <c r="G26" s="28"/>
    </row>
    <row r="27" ht="21.0" customHeight="1">
      <c r="A27" s="29">
        <v>45983.0</v>
      </c>
      <c r="B27" s="22" t="s">
        <v>43</v>
      </c>
      <c r="C27" s="23"/>
      <c r="D27" s="30" t="s">
        <v>26</v>
      </c>
      <c r="E27" s="31"/>
      <c r="F27" s="31"/>
      <c r="G27" s="23"/>
    </row>
    <row r="28" ht="21.0" customHeight="1">
      <c r="A28" s="25">
        <v>45984.0</v>
      </c>
      <c r="B28" s="26" t="s">
        <v>36</v>
      </c>
      <c r="C28" s="27"/>
      <c r="D28" s="28" t="s">
        <v>21</v>
      </c>
      <c r="E28" s="28">
        <v>550.0</v>
      </c>
      <c r="F28" s="28"/>
      <c r="G28" s="28"/>
    </row>
    <row r="29" ht="21.0" customHeight="1">
      <c r="A29" s="29">
        <v>45984.0</v>
      </c>
      <c r="B29" s="22" t="s">
        <v>47</v>
      </c>
      <c r="C29" s="23"/>
      <c r="D29" s="33" t="s">
        <v>23</v>
      </c>
      <c r="E29" s="24">
        <v>68.0</v>
      </c>
      <c r="F29" s="24"/>
      <c r="G29" s="24"/>
    </row>
    <row r="30" ht="21.0" customHeight="1">
      <c r="A30" s="25">
        <v>45984.0</v>
      </c>
      <c r="B30" s="26" t="s">
        <v>30</v>
      </c>
      <c r="C30" s="27"/>
      <c r="D30" s="30" t="s">
        <v>26</v>
      </c>
      <c r="E30" s="32"/>
      <c r="F30" s="32"/>
      <c r="G30" s="27"/>
    </row>
    <row r="31" ht="21.0" customHeight="1">
      <c r="A31" s="29">
        <v>45985.0</v>
      </c>
      <c r="B31" s="22" t="s">
        <v>48</v>
      </c>
      <c r="C31" s="23"/>
      <c r="D31" s="35" t="s">
        <v>49</v>
      </c>
      <c r="E31" s="23"/>
      <c r="F31" s="24"/>
      <c r="G31" s="24"/>
    </row>
    <row r="32" ht="21.0" customHeight="1">
      <c r="A32" s="25">
        <v>45986.0</v>
      </c>
      <c r="B32" s="26" t="s">
        <v>50</v>
      </c>
      <c r="C32" s="27"/>
      <c r="D32" s="30" t="s">
        <v>26</v>
      </c>
      <c r="E32" s="32"/>
      <c r="F32" s="32"/>
      <c r="G32" s="27"/>
    </row>
    <row r="33" ht="21.0" customHeight="1">
      <c r="A33" s="29">
        <v>45987.0</v>
      </c>
      <c r="B33" s="22" t="s">
        <v>51</v>
      </c>
      <c r="C33" s="23"/>
      <c r="D33" s="30" t="s">
        <v>26</v>
      </c>
      <c r="E33" s="31"/>
      <c r="F33" s="31"/>
      <c r="G33" s="23"/>
    </row>
    <row r="34" ht="21.0" customHeight="1">
      <c r="A34" s="25">
        <v>45987.0</v>
      </c>
      <c r="B34" s="26" t="s">
        <v>52</v>
      </c>
      <c r="C34" s="27"/>
      <c r="D34" s="30" t="s">
        <v>26</v>
      </c>
      <c r="E34" s="32"/>
      <c r="F34" s="32"/>
      <c r="G34" s="27"/>
    </row>
    <row r="35" ht="21.0" customHeight="1">
      <c r="A35" s="29">
        <v>45988.0</v>
      </c>
      <c r="B35" s="22" t="s">
        <v>53</v>
      </c>
      <c r="C35" s="23"/>
      <c r="D35" s="30" t="s">
        <v>26</v>
      </c>
      <c r="E35" s="31"/>
      <c r="F35" s="31"/>
      <c r="G35" s="23"/>
    </row>
    <row r="36" ht="21.0" customHeight="1">
      <c r="A36" s="25">
        <v>45988.0</v>
      </c>
      <c r="B36" s="26" t="s">
        <v>52</v>
      </c>
      <c r="C36" s="27"/>
      <c r="D36" s="30" t="s">
        <v>26</v>
      </c>
      <c r="E36" s="32"/>
      <c r="F36" s="32"/>
      <c r="G36" s="27"/>
    </row>
    <row r="37" ht="21.0" customHeight="1">
      <c r="A37" s="29">
        <v>45990.0</v>
      </c>
      <c r="B37" s="22" t="s">
        <v>54</v>
      </c>
      <c r="C37" s="23"/>
      <c r="D37" s="30" t="s">
        <v>26</v>
      </c>
      <c r="E37" s="31"/>
      <c r="F37" s="31"/>
      <c r="G37" s="23"/>
    </row>
    <row r="38" ht="21.0" customHeight="1">
      <c r="A38" s="25">
        <v>45990.0</v>
      </c>
      <c r="B38" s="26" t="s">
        <v>36</v>
      </c>
      <c r="C38" s="27"/>
      <c r="D38" s="28" t="s">
        <v>21</v>
      </c>
      <c r="E38" s="28">
        <v>554.0</v>
      </c>
      <c r="F38" s="28" t="s">
        <v>45</v>
      </c>
      <c r="G38" s="28" t="s">
        <v>33</v>
      </c>
    </row>
    <row r="39" ht="21.0" customHeight="1">
      <c r="A39" s="29">
        <v>45990.0</v>
      </c>
      <c r="B39" s="22" t="s">
        <v>55</v>
      </c>
      <c r="C39" s="23"/>
      <c r="D39" s="30" t="s">
        <v>26</v>
      </c>
      <c r="E39" s="31"/>
      <c r="F39" s="31"/>
      <c r="G39" s="23"/>
    </row>
    <row r="40" ht="21.0" customHeight="1">
      <c r="A40" s="25">
        <v>45991.0</v>
      </c>
      <c r="B40" s="26" t="s">
        <v>56</v>
      </c>
      <c r="C40" s="27"/>
      <c r="D40" s="28" t="s">
        <v>45</v>
      </c>
      <c r="E40" s="28" t="s">
        <v>33</v>
      </c>
      <c r="F40" s="28"/>
      <c r="G40" s="28"/>
    </row>
    <row r="41" ht="21.0" customHeight="1">
      <c r="A41" s="29">
        <v>45991.0</v>
      </c>
      <c r="B41" s="22" t="s">
        <v>57</v>
      </c>
      <c r="C41" s="23"/>
      <c r="D41" s="24" t="s">
        <v>21</v>
      </c>
      <c r="E41" s="24">
        <v>557.0</v>
      </c>
      <c r="F41" s="24"/>
      <c r="G41" s="24"/>
    </row>
    <row r="42" ht="21.0" customHeight="1">
      <c r="A42" s="25">
        <v>45991.0</v>
      </c>
      <c r="B42" s="26" t="s">
        <v>58</v>
      </c>
      <c r="C42" s="27"/>
      <c r="D42" s="30" t="s">
        <v>26</v>
      </c>
      <c r="E42" s="32"/>
      <c r="F42" s="32"/>
      <c r="G42" s="27"/>
    </row>
    <row r="43" ht="21.0" customHeight="1">
      <c r="A43" s="29">
        <v>45991.0</v>
      </c>
      <c r="B43" s="22" t="s">
        <v>59</v>
      </c>
      <c r="C43" s="23"/>
      <c r="D43" s="30" t="s">
        <v>26</v>
      </c>
      <c r="E43" s="31"/>
      <c r="F43" s="31"/>
      <c r="G43" s="23"/>
    </row>
    <row r="44" ht="21.0" customHeight="1">
      <c r="A44" s="25">
        <v>45991.0</v>
      </c>
      <c r="B44" s="26" t="s">
        <v>60</v>
      </c>
      <c r="C44" s="27"/>
      <c r="D44" s="30" t="s">
        <v>26</v>
      </c>
      <c r="E44" s="32"/>
      <c r="F44" s="32"/>
      <c r="G44" s="27"/>
    </row>
    <row r="45" ht="21.0" customHeight="1">
      <c r="A45" s="21"/>
      <c r="B45" s="22"/>
      <c r="C45" s="23"/>
      <c r="D45" s="24"/>
      <c r="E45" s="24"/>
      <c r="F45" s="24"/>
      <c r="G45" s="24"/>
    </row>
    <row r="46" ht="21.0" customHeight="1">
      <c r="A46" s="25"/>
      <c r="B46" s="26"/>
      <c r="C46" s="27"/>
      <c r="D46" s="28"/>
      <c r="E46" s="28"/>
      <c r="F46" s="28"/>
      <c r="G46" s="28"/>
    </row>
  </sheetData>
  <mergeCells count="73">
    <mergeCell ref="B23:C23"/>
    <mergeCell ref="B24:C24"/>
    <mergeCell ref="D24:G24"/>
    <mergeCell ref="B25:C25"/>
    <mergeCell ref="B26:C26"/>
    <mergeCell ref="B27:C27"/>
    <mergeCell ref="D27:G27"/>
    <mergeCell ref="B28:C28"/>
    <mergeCell ref="B29:C29"/>
    <mergeCell ref="D30:G30"/>
    <mergeCell ref="B30:C30"/>
    <mergeCell ref="B31:C31"/>
    <mergeCell ref="D31:E31"/>
    <mergeCell ref="B32:C32"/>
    <mergeCell ref="D32:G32"/>
    <mergeCell ref="B33:C33"/>
    <mergeCell ref="D33:G33"/>
    <mergeCell ref="B34:C34"/>
    <mergeCell ref="D34:G34"/>
    <mergeCell ref="B35:C35"/>
    <mergeCell ref="D35:G35"/>
    <mergeCell ref="B36:C36"/>
    <mergeCell ref="D36:G36"/>
    <mergeCell ref="D37:G37"/>
    <mergeCell ref="D43:G43"/>
    <mergeCell ref="D44:G44"/>
    <mergeCell ref="B37:C37"/>
    <mergeCell ref="B38:C38"/>
    <mergeCell ref="B39:C39"/>
    <mergeCell ref="D39:G39"/>
    <mergeCell ref="B40:C40"/>
    <mergeCell ref="B41:C41"/>
    <mergeCell ref="D42:G42"/>
    <mergeCell ref="D6:G6"/>
    <mergeCell ref="D8:G8"/>
    <mergeCell ref="D10:G10"/>
    <mergeCell ref="D11:G11"/>
    <mergeCell ref="B1:C1"/>
    <mergeCell ref="B2:C2"/>
    <mergeCell ref="B3:C3"/>
    <mergeCell ref="D3:G3"/>
    <mergeCell ref="B4:C4"/>
    <mergeCell ref="D4:G4"/>
    <mergeCell ref="D5:G5"/>
    <mergeCell ref="B5:C5"/>
    <mergeCell ref="B6:C6"/>
    <mergeCell ref="B7:C7"/>
    <mergeCell ref="B8:C8"/>
    <mergeCell ref="B9:C9"/>
    <mergeCell ref="B10:C10"/>
    <mergeCell ref="B11:C11"/>
    <mergeCell ref="D17:G17"/>
    <mergeCell ref="D19:G19"/>
    <mergeCell ref="D20:G20"/>
    <mergeCell ref="B12:C12"/>
    <mergeCell ref="B13:C13"/>
    <mergeCell ref="B14:C14"/>
    <mergeCell ref="D14:G14"/>
    <mergeCell ref="B15:C15"/>
    <mergeCell ref="D15:G15"/>
    <mergeCell ref="D16:G16"/>
    <mergeCell ref="B16:C16"/>
    <mergeCell ref="B17:C17"/>
    <mergeCell ref="B18:C18"/>
    <mergeCell ref="B19:C19"/>
    <mergeCell ref="B20:C20"/>
    <mergeCell ref="B21:C21"/>
    <mergeCell ref="B22:C22"/>
    <mergeCell ref="B42:C42"/>
    <mergeCell ref="B43:C43"/>
    <mergeCell ref="B44:C44"/>
    <mergeCell ref="B45:C45"/>
    <mergeCell ref="B46:C46"/>
  </mergeCells>
  <conditionalFormatting sqref="D1:G46">
    <cfRule type="expression" dxfId="4" priority="1">
      <formula>AND(D1&gt;0, #REF!="Annullato", $A1&lt;TODAY())</formula>
    </cfRule>
  </conditionalFormatting>
  <conditionalFormatting sqref="A1:A46">
    <cfRule type="expression" dxfId="5" priority="2">
      <formula>AND($A1="",$B1&lt;&gt;"")</formula>
    </cfRule>
  </conditionalFormatting>
  <conditionalFormatting sqref="D1:G46">
    <cfRule type="expression" dxfId="6" priority="3">
      <formula>AND(D1&lt;=0, #REF!&lt;&gt;"Annullato", $A1&lt;TODAY(), $A1&lt;&gt;"")</formula>
    </cfRule>
  </conditionalFormatting>
  <conditionalFormatting sqref="A1:G46">
    <cfRule type="expression" dxfId="7" priority="4">
      <formula>AND(#REF!="Annullato", COUNTIF(#REF!, "&lt;&gt;0")&gt;0)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3" width="18.38"/>
    <col customWidth="1" min="4" max="4" width="16.5"/>
    <col customWidth="1" min="5" max="5" width="15.75"/>
    <col customWidth="1" min="6" max="6" width="44.75"/>
    <col customWidth="1" min="7" max="7" width="50.25"/>
    <col customWidth="1" min="8" max="8" width="28.75"/>
    <col customWidth="1" min="9" max="9" width="18.5"/>
    <col customWidth="1" min="10" max="10" width="18.0"/>
    <col customWidth="1" hidden="1" min="11" max="12" width="15.5"/>
  </cols>
  <sheetData>
    <row r="1" ht="57.75" customHeight="1">
      <c r="A1" s="36" t="s">
        <v>61</v>
      </c>
      <c r="B1" s="37" t="s">
        <v>62</v>
      </c>
      <c r="C1" s="38"/>
      <c r="D1" s="39" t="s">
        <v>63</v>
      </c>
      <c r="E1" s="40" t="s">
        <v>64</v>
      </c>
      <c r="F1" s="41" t="s">
        <v>65</v>
      </c>
      <c r="G1" s="42" t="s">
        <v>18</v>
      </c>
      <c r="H1" s="42" t="s">
        <v>66</v>
      </c>
      <c r="I1" s="43" t="s">
        <v>67</v>
      </c>
      <c r="J1" s="42" t="s">
        <v>68</v>
      </c>
      <c r="K1" s="44"/>
      <c r="L1" s="44"/>
    </row>
    <row r="2">
      <c r="A2" s="45">
        <v>6.0</v>
      </c>
      <c r="B2" s="46" t="s">
        <v>69</v>
      </c>
      <c r="C2" s="47"/>
      <c r="D2" s="48"/>
      <c r="E2" s="49" t="s">
        <v>70</v>
      </c>
      <c r="F2" s="50" t="s">
        <v>71</v>
      </c>
      <c r="G2" s="51" t="s">
        <v>72</v>
      </c>
      <c r="H2" s="51" t="s">
        <v>73</v>
      </c>
      <c r="I2" s="52" t="s">
        <v>74</v>
      </c>
      <c r="J2" s="53">
        <v>1500.0</v>
      </c>
      <c r="K2" s="54" t="str">
        <f t="shared" ref="K2:L2" si="1">IF(#REF!="X",-9999999999,IF(#REF!="GIÀ SALDATO",-9999999999,TODAY()))</f>
        <v>#REF!</v>
      </c>
      <c r="L2" s="55" t="str">
        <f t="shared" si="1"/>
        <v>#REF!</v>
      </c>
    </row>
    <row r="3">
      <c r="A3" s="56"/>
      <c r="B3" s="57"/>
      <c r="C3" s="58"/>
      <c r="D3" s="59"/>
      <c r="E3" s="59"/>
      <c r="F3" s="59"/>
      <c r="G3" s="60" t="s">
        <v>75</v>
      </c>
      <c r="H3" s="61">
        <v>54424.0</v>
      </c>
      <c r="I3" s="62" t="s">
        <v>76</v>
      </c>
      <c r="J3" s="63">
        <v>1494.0</v>
      </c>
      <c r="K3" s="58"/>
      <c r="L3" s="64" t="str">
        <f t="shared" ref="L3:L6" si="2">IF(#REF!="X",-9999999999,IF(#REF!="GIÀ SALDATO",-9999999999,TODAY()))</f>
        <v>#REF!</v>
      </c>
    </row>
    <row r="4">
      <c r="A4" s="65"/>
      <c r="B4" s="66"/>
      <c r="C4" s="67"/>
      <c r="D4" s="68"/>
      <c r="E4" s="68"/>
      <c r="F4" s="68"/>
      <c r="G4" s="69"/>
      <c r="H4" s="69"/>
      <c r="I4" s="52"/>
      <c r="J4" s="70"/>
      <c r="K4" s="67"/>
      <c r="L4" s="55" t="str">
        <f t="shared" si="2"/>
        <v>#REF!</v>
      </c>
    </row>
    <row r="5">
      <c r="A5" s="56"/>
      <c r="B5" s="57"/>
      <c r="C5" s="58"/>
      <c r="D5" s="59"/>
      <c r="E5" s="59"/>
      <c r="F5" s="59"/>
      <c r="G5" s="60"/>
      <c r="H5" s="60"/>
      <c r="I5" s="62"/>
      <c r="J5" s="71"/>
      <c r="K5" s="58"/>
      <c r="L5" s="64" t="str">
        <f t="shared" si="2"/>
        <v>#REF!</v>
      </c>
    </row>
    <row r="6">
      <c r="A6" s="72"/>
      <c r="B6" s="73"/>
      <c r="C6" s="74"/>
      <c r="D6" s="75"/>
      <c r="E6" s="76"/>
      <c r="F6" s="75"/>
      <c r="G6" s="77"/>
      <c r="H6" s="77"/>
      <c r="I6" s="78"/>
      <c r="J6" s="79"/>
      <c r="K6" s="74"/>
      <c r="L6" s="55" t="str">
        <f t="shared" si="2"/>
        <v>#REF!</v>
      </c>
    </row>
    <row r="7" ht="20.25" customHeight="1">
      <c r="A7" s="45">
        <v>6.0</v>
      </c>
      <c r="B7" s="80" t="s">
        <v>77</v>
      </c>
      <c r="C7" s="81"/>
      <c r="D7" s="82"/>
      <c r="E7" s="83" t="s">
        <v>78</v>
      </c>
      <c r="F7" s="84" t="s">
        <v>79</v>
      </c>
      <c r="G7" s="85" t="s">
        <v>80</v>
      </c>
      <c r="H7" s="86" t="s">
        <v>81</v>
      </c>
      <c r="I7" s="62" t="s">
        <v>74</v>
      </c>
      <c r="J7" s="87">
        <v>2688.0</v>
      </c>
      <c r="K7" s="88" t="str">
        <f t="shared" ref="K7:L7" si="3">IF(#REF!="X",-9999999999,IF(#REF!="GIÀ SALDATO",-9999999999,TODAY()))</f>
        <v>#REF!</v>
      </c>
      <c r="L7" s="64" t="str">
        <f t="shared" si="3"/>
        <v>#REF!</v>
      </c>
    </row>
    <row r="8" ht="20.25" customHeight="1">
      <c r="A8" s="65"/>
      <c r="B8" s="66"/>
      <c r="C8" s="67"/>
      <c r="D8" s="68"/>
      <c r="E8" s="68"/>
      <c r="F8" s="68"/>
      <c r="G8" s="89" t="s">
        <v>82</v>
      </c>
      <c r="H8" s="69">
        <v>1.25000454E8</v>
      </c>
      <c r="I8" s="52" t="s">
        <v>74</v>
      </c>
      <c r="J8" s="70">
        <v>4338.0</v>
      </c>
      <c r="K8" s="67"/>
      <c r="L8" s="55" t="str">
        <f t="shared" ref="L8:L11" si="4">IF(#REF!="X",-9999999999,IF(#REF!="GIÀ SALDATO",-9999999999,TODAY()))</f>
        <v>#REF!</v>
      </c>
    </row>
    <row r="9" ht="20.25" customHeight="1">
      <c r="A9" s="56"/>
      <c r="B9" s="57"/>
      <c r="C9" s="58"/>
      <c r="D9" s="59"/>
      <c r="E9" s="59"/>
      <c r="F9" s="59"/>
      <c r="G9" s="90"/>
      <c r="H9" s="60"/>
      <c r="I9" s="62"/>
      <c r="J9" s="71"/>
      <c r="K9" s="58"/>
      <c r="L9" s="64" t="str">
        <f t="shared" si="4"/>
        <v>#REF!</v>
      </c>
    </row>
    <row r="10" ht="20.25" customHeight="1">
      <c r="A10" s="65"/>
      <c r="B10" s="66"/>
      <c r="C10" s="67"/>
      <c r="D10" s="68"/>
      <c r="E10" s="68"/>
      <c r="F10" s="68"/>
      <c r="G10" s="89"/>
      <c r="H10" s="69"/>
      <c r="I10" s="52"/>
      <c r="J10" s="70"/>
      <c r="K10" s="67"/>
      <c r="L10" s="55" t="str">
        <f t="shared" si="4"/>
        <v>#REF!</v>
      </c>
    </row>
    <row r="11" ht="20.25" customHeight="1">
      <c r="A11" s="91"/>
      <c r="B11" s="92"/>
      <c r="C11" s="93"/>
      <c r="D11" s="94"/>
      <c r="E11" s="95"/>
      <c r="F11" s="94"/>
      <c r="G11" s="96"/>
      <c r="H11" s="96"/>
      <c r="I11" s="97"/>
      <c r="J11" s="98"/>
      <c r="K11" s="93"/>
      <c r="L11" s="64" t="str">
        <f t="shared" si="4"/>
        <v>#REF!</v>
      </c>
    </row>
  </sheetData>
  <mergeCells count="13">
    <mergeCell ref="B1:C1"/>
    <mergeCell ref="A2:A6"/>
    <mergeCell ref="B2:C6"/>
    <mergeCell ref="D2:D6"/>
    <mergeCell ref="E2:E6"/>
    <mergeCell ref="F2:F6"/>
    <mergeCell ref="K2:K6"/>
    <mergeCell ref="A7:A11"/>
    <mergeCell ref="B7:C11"/>
    <mergeCell ref="D7:D11"/>
    <mergeCell ref="E7:E11"/>
    <mergeCell ref="F7:F11"/>
    <mergeCell ref="K7:K11"/>
  </mergeCells>
  <conditionalFormatting sqref="E2:E11">
    <cfRule type="notContainsBlanks" dxfId="8" priority="1">
      <formula>LEN(TRIM(E2))&gt;0</formula>
    </cfRule>
  </conditionalFormatting>
  <conditionalFormatting sqref="E2:E11">
    <cfRule type="expression" dxfId="9" priority="2">
      <formula>#REF!="GIÀ SALDATO"</formula>
    </cfRule>
  </conditionalFormatting>
  <dataValidations>
    <dataValidation type="list" allowBlank="1" showErrorMessage="1" sqref="I2:I11">
      <formula1>"Sì,No"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0"/>
    <col customWidth="1" min="3" max="3" width="21.88"/>
    <col customWidth="1" min="4" max="4" width="18.25"/>
    <col customWidth="1" min="5" max="5" width="30.75"/>
    <col customWidth="1" min="6" max="8" width="32.0"/>
  </cols>
  <sheetData>
    <row r="1" ht="57.75" customHeight="1">
      <c r="A1" s="99" t="s">
        <v>83</v>
      </c>
      <c r="B1" s="100" t="s">
        <v>84</v>
      </c>
      <c r="C1" s="100" t="s">
        <v>63</v>
      </c>
      <c r="D1" s="101" t="s">
        <v>85</v>
      </c>
      <c r="E1" s="101" t="s">
        <v>86</v>
      </c>
      <c r="F1" s="99" t="s">
        <v>87</v>
      </c>
      <c r="G1" s="99" t="s">
        <v>88</v>
      </c>
      <c r="H1" s="99" t="s">
        <v>89</v>
      </c>
    </row>
    <row r="2">
      <c r="A2" s="102" t="s">
        <v>90</v>
      </c>
      <c r="B2" s="103" t="s">
        <v>91</v>
      </c>
      <c r="C2" s="104" t="s">
        <v>92</v>
      </c>
      <c r="D2" s="105">
        <v>2377.0</v>
      </c>
      <c r="E2" s="106"/>
      <c r="F2" s="103" t="s">
        <v>93</v>
      </c>
      <c r="G2" s="107" t="s">
        <v>94</v>
      </c>
      <c r="H2" s="108"/>
    </row>
    <row r="3">
      <c r="A3" s="109"/>
      <c r="E3" s="110"/>
      <c r="H3" s="111"/>
    </row>
    <row r="4">
      <c r="A4" s="112"/>
      <c r="E4" s="110"/>
      <c r="H4" s="111"/>
    </row>
    <row r="5">
      <c r="A5" s="109"/>
      <c r="E5" s="110"/>
      <c r="H5" s="111"/>
    </row>
    <row r="6">
      <c r="A6" s="112"/>
      <c r="E6" s="110"/>
      <c r="H6" s="111"/>
    </row>
    <row r="7">
      <c r="A7" s="113" t="s">
        <v>90</v>
      </c>
      <c r="B7" s="114" t="s">
        <v>95</v>
      </c>
      <c r="C7" s="115" t="s">
        <v>92</v>
      </c>
      <c r="D7" s="116">
        <v>1710.0</v>
      </c>
      <c r="E7" s="117"/>
      <c r="F7" s="114" t="s">
        <v>93</v>
      </c>
      <c r="H7" s="118"/>
    </row>
    <row r="8">
      <c r="A8" s="112"/>
      <c r="E8" s="119"/>
      <c r="H8" s="120"/>
    </row>
    <row r="9">
      <c r="A9" s="109"/>
      <c r="E9" s="117"/>
      <c r="H9" s="118">
        <v>564.02</v>
      </c>
    </row>
    <row r="10">
      <c r="A10" s="112"/>
      <c r="E10" s="119"/>
      <c r="H10" s="120"/>
    </row>
    <row r="11">
      <c r="A11" s="109"/>
      <c r="E11" s="117"/>
      <c r="H11" s="118"/>
    </row>
    <row r="12">
      <c r="A12" s="121" t="s">
        <v>96</v>
      </c>
      <c r="B12" s="122" t="s">
        <v>97</v>
      </c>
      <c r="C12" s="123" t="s">
        <v>92</v>
      </c>
      <c r="D12" s="124">
        <v>2377.0</v>
      </c>
      <c r="E12" s="110"/>
      <c r="F12" s="122" t="s">
        <v>93</v>
      </c>
      <c r="H12" s="111"/>
    </row>
    <row r="13">
      <c r="A13" s="109"/>
      <c r="E13" s="110"/>
      <c r="H13" s="111"/>
    </row>
    <row r="14">
      <c r="A14" s="112"/>
      <c r="E14" s="110"/>
      <c r="H14" s="111"/>
    </row>
    <row r="15">
      <c r="A15" s="109"/>
      <c r="E15" s="110"/>
      <c r="H15" s="111"/>
    </row>
    <row r="16">
      <c r="A16" s="125"/>
      <c r="B16" s="126"/>
      <c r="C16" s="126"/>
      <c r="D16" s="126"/>
      <c r="E16" s="127"/>
      <c r="F16" s="126"/>
      <c r="G16" s="126"/>
      <c r="H16" s="128"/>
    </row>
    <row r="17">
      <c r="A17" s="129" t="s">
        <v>98</v>
      </c>
      <c r="B17" s="130" t="s">
        <v>99</v>
      </c>
      <c r="C17" s="130" t="s">
        <v>100</v>
      </c>
      <c r="D17" s="131">
        <v>1470.0</v>
      </c>
      <c r="E17" s="132"/>
      <c r="F17" s="133" t="s">
        <v>101</v>
      </c>
      <c r="G17" s="134"/>
      <c r="H17" s="135"/>
    </row>
    <row r="18">
      <c r="A18" s="112"/>
      <c r="E18" s="119"/>
      <c r="G18" s="136" t="s">
        <v>102</v>
      </c>
      <c r="H18" s="120"/>
    </row>
    <row r="19">
      <c r="A19" s="109"/>
      <c r="E19" s="117" t="s">
        <v>103</v>
      </c>
      <c r="G19" s="137" t="s">
        <v>104</v>
      </c>
      <c r="H19" s="118">
        <v>1318.83</v>
      </c>
    </row>
    <row r="20">
      <c r="A20" s="112"/>
      <c r="E20" s="119"/>
      <c r="G20" s="136"/>
      <c r="H20" s="120"/>
    </row>
    <row r="21">
      <c r="A21" s="138"/>
      <c r="B21" s="139"/>
      <c r="C21" s="139"/>
      <c r="D21" s="139"/>
      <c r="E21" s="140"/>
      <c r="F21" s="139"/>
      <c r="G21" s="141"/>
      <c r="H21" s="142"/>
    </row>
    <row r="22">
      <c r="A22" s="143" t="s">
        <v>105</v>
      </c>
      <c r="B22" s="143" t="s">
        <v>106</v>
      </c>
      <c r="C22" s="144" t="s">
        <v>107</v>
      </c>
      <c r="D22" s="145">
        <v>1280.0</v>
      </c>
      <c r="E22" s="146"/>
      <c r="F22" s="144" t="s">
        <v>101</v>
      </c>
      <c r="G22" s="147"/>
      <c r="H22" s="147"/>
    </row>
    <row r="23">
      <c r="A23" s="58"/>
      <c r="B23" s="58"/>
      <c r="C23" s="57"/>
      <c r="D23" s="57"/>
      <c r="E23" s="146"/>
      <c r="F23" s="57"/>
      <c r="G23" s="147" t="s">
        <v>108</v>
      </c>
      <c r="H23" s="147"/>
    </row>
    <row r="24">
      <c r="A24" s="67"/>
      <c r="B24" s="67"/>
      <c r="C24" s="66"/>
      <c r="D24" s="66"/>
      <c r="E24" s="146" t="s">
        <v>109</v>
      </c>
      <c r="F24" s="66"/>
      <c r="G24" s="147" t="s">
        <v>110</v>
      </c>
      <c r="H24" s="147"/>
    </row>
    <row r="25">
      <c r="A25" s="58"/>
      <c r="B25" s="58"/>
      <c r="C25" s="57"/>
      <c r="D25" s="57"/>
      <c r="E25" s="146"/>
      <c r="F25" s="57"/>
      <c r="G25" s="147"/>
      <c r="H25" s="147"/>
    </row>
    <row r="26">
      <c r="A26" s="74"/>
      <c r="B26" s="74"/>
      <c r="C26" s="73"/>
      <c r="D26" s="73"/>
      <c r="E26" s="148"/>
      <c r="F26" s="73"/>
      <c r="G26" s="149"/>
      <c r="H26" s="149"/>
    </row>
    <row r="27">
      <c r="A27" s="150" t="s">
        <v>111</v>
      </c>
      <c r="B27" s="150" t="s">
        <v>112</v>
      </c>
      <c r="C27" s="151" t="s">
        <v>113</v>
      </c>
      <c r="D27" s="152">
        <v>1850.0</v>
      </c>
      <c r="E27" s="153"/>
      <c r="F27" s="151" t="s">
        <v>101</v>
      </c>
      <c r="G27" s="154"/>
      <c r="H27" s="154"/>
    </row>
    <row r="28">
      <c r="A28" s="67"/>
      <c r="B28" s="67"/>
      <c r="C28" s="66"/>
      <c r="D28" s="66"/>
      <c r="E28" s="155"/>
      <c r="F28" s="66"/>
      <c r="G28" s="89" t="s">
        <v>114</v>
      </c>
      <c r="H28" s="89"/>
    </row>
    <row r="29">
      <c r="A29" s="58"/>
      <c r="B29" s="58"/>
      <c r="C29" s="57"/>
      <c r="D29" s="57"/>
      <c r="E29" s="156"/>
      <c r="F29" s="57"/>
      <c r="G29" s="90" t="s">
        <v>115</v>
      </c>
      <c r="H29" s="90"/>
    </row>
    <row r="30">
      <c r="A30" s="67"/>
      <c r="B30" s="67"/>
      <c r="C30" s="66"/>
      <c r="D30" s="66"/>
      <c r="E30" s="155"/>
      <c r="F30" s="66"/>
      <c r="G30" s="89"/>
      <c r="H30" s="89"/>
    </row>
    <row r="31">
      <c r="A31" s="93"/>
      <c r="B31" s="93"/>
      <c r="C31" s="92"/>
      <c r="D31" s="92"/>
      <c r="E31" s="157"/>
      <c r="F31" s="92"/>
      <c r="G31" s="158"/>
      <c r="H31" s="158"/>
    </row>
    <row r="32">
      <c r="A32" s="159" t="s">
        <v>116</v>
      </c>
      <c r="B32" s="159" t="s">
        <v>117</v>
      </c>
      <c r="C32" s="160" t="s">
        <v>118</v>
      </c>
      <c r="D32" s="161">
        <v>160.0</v>
      </c>
      <c r="E32" s="162"/>
      <c r="F32" s="160" t="s">
        <v>119</v>
      </c>
      <c r="G32" s="163"/>
      <c r="H32" s="163"/>
    </row>
    <row r="33">
      <c r="A33" s="58"/>
      <c r="B33" s="58"/>
      <c r="C33" s="57"/>
      <c r="D33" s="57"/>
      <c r="E33" s="146"/>
      <c r="F33" s="57"/>
      <c r="G33" s="147"/>
      <c r="H33" s="147"/>
    </row>
    <row r="34">
      <c r="A34" s="67"/>
      <c r="B34" s="67"/>
      <c r="C34" s="66"/>
      <c r="D34" s="66"/>
      <c r="E34" s="146" t="s">
        <v>120</v>
      </c>
      <c r="F34" s="66"/>
      <c r="G34" s="147" t="s">
        <v>121</v>
      </c>
      <c r="H34" s="147">
        <v>140.52</v>
      </c>
    </row>
    <row r="35">
      <c r="A35" s="58"/>
      <c r="B35" s="58"/>
      <c r="C35" s="57"/>
      <c r="D35" s="57"/>
      <c r="E35" s="146"/>
      <c r="F35" s="57"/>
      <c r="G35" s="147" t="s">
        <v>122</v>
      </c>
      <c r="H35" s="147"/>
    </row>
    <row r="36">
      <c r="A36" s="74"/>
      <c r="B36" s="74"/>
      <c r="C36" s="73"/>
      <c r="D36" s="73"/>
      <c r="E36" s="148"/>
      <c r="F36" s="73"/>
      <c r="G36" s="149"/>
      <c r="H36" s="149"/>
    </row>
    <row r="37">
      <c r="A37" s="150" t="s">
        <v>123</v>
      </c>
      <c r="B37" s="150" t="s">
        <v>124</v>
      </c>
      <c r="C37" s="164" t="s">
        <v>125</v>
      </c>
      <c r="D37" s="152">
        <v>650.0</v>
      </c>
      <c r="E37" s="153"/>
      <c r="F37" s="151" t="s">
        <v>101</v>
      </c>
      <c r="G37" s="154"/>
      <c r="H37" s="154"/>
    </row>
    <row r="38">
      <c r="A38" s="67"/>
      <c r="B38" s="67"/>
      <c r="C38" s="66"/>
      <c r="D38" s="66"/>
      <c r="E38" s="155"/>
      <c r="F38" s="66"/>
      <c r="G38" s="89"/>
      <c r="H38" s="89"/>
    </row>
    <row r="39">
      <c r="A39" s="58"/>
      <c r="B39" s="58"/>
      <c r="C39" s="57"/>
      <c r="D39" s="57"/>
      <c r="E39" s="156" t="s">
        <v>126</v>
      </c>
      <c r="F39" s="57"/>
      <c r="G39" s="90" t="s">
        <v>127</v>
      </c>
      <c r="H39" s="90">
        <v>650.0</v>
      </c>
    </row>
    <row r="40">
      <c r="A40" s="67"/>
      <c r="B40" s="67"/>
      <c r="C40" s="66"/>
      <c r="D40" s="66"/>
      <c r="E40" s="155"/>
      <c r="F40" s="66"/>
      <c r="G40" s="89"/>
      <c r="H40" s="89"/>
    </row>
    <row r="41">
      <c r="A41" s="93"/>
      <c r="B41" s="93"/>
      <c r="C41" s="92"/>
      <c r="D41" s="92"/>
      <c r="E41" s="157"/>
      <c r="F41" s="92"/>
      <c r="G41" s="158"/>
      <c r="H41" s="158"/>
    </row>
    <row r="42">
      <c r="A42" s="165" t="s">
        <v>128</v>
      </c>
      <c r="B42" s="165" t="s">
        <v>129</v>
      </c>
      <c r="C42" s="166" t="s">
        <v>130</v>
      </c>
      <c r="D42" s="161">
        <v>8225.97</v>
      </c>
      <c r="E42" s="162"/>
      <c r="F42" s="160" t="s">
        <v>101</v>
      </c>
      <c r="G42" s="163"/>
      <c r="H42" s="163"/>
    </row>
    <row r="43">
      <c r="A43" s="58"/>
      <c r="B43" s="58"/>
      <c r="C43" s="57"/>
      <c r="D43" s="57"/>
      <c r="E43" s="146"/>
      <c r="F43" s="57"/>
      <c r="G43" s="147" t="s">
        <v>131</v>
      </c>
      <c r="H43" s="147"/>
    </row>
    <row r="44">
      <c r="A44" s="67"/>
      <c r="B44" s="67"/>
      <c r="C44" s="66"/>
      <c r="D44" s="66"/>
      <c r="E44" s="146"/>
      <c r="F44" s="66"/>
      <c r="G44" s="147" t="s">
        <v>132</v>
      </c>
      <c r="H44" s="147"/>
    </row>
    <row r="45">
      <c r="A45" s="58"/>
      <c r="B45" s="58"/>
      <c r="C45" s="57"/>
      <c r="D45" s="57"/>
      <c r="E45" s="146"/>
      <c r="F45" s="57"/>
      <c r="G45" s="147"/>
      <c r="H45" s="147"/>
    </row>
    <row r="46">
      <c r="A46" s="74"/>
      <c r="B46" s="74"/>
      <c r="C46" s="73"/>
      <c r="D46" s="73"/>
      <c r="E46" s="148"/>
      <c r="F46" s="73"/>
      <c r="G46" s="149"/>
      <c r="H46" s="149"/>
    </row>
    <row r="47">
      <c r="A47" s="150" t="s">
        <v>133</v>
      </c>
      <c r="B47" s="150" t="s">
        <v>99</v>
      </c>
      <c r="C47" s="151" t="s">
        <v>134</v>
      </c>
      <c r="D47" s="152">
        <v>980.0</v>
      </c>
      <c r="E47" s="153"/>
      <c r="F47" s="151" t="s">
        <v>135</v>
      </c>
      <c r="G47" s="154"/>
      <c r="H47" s="154"/>
    </row>
    <row r="48">
      <c r="A48" s="67"/>
      <c r="B48" s="67"/>
      <c r="C48" s="66"/>
      <c r="D48" s="66"/>
      <c r="E48" s="155" t="s">
        <v>136</v>
      </c>
      <c r="F48" s="66"/>
      <c r="G48" s="89" t="s">
        <v>137</v>
      </c>
      <c r="H48" s="89">
        <v>852.6</v>
      </c>
    </row>
    <row r="49">
      <c r="A49" s="58"/>
      <c r="B49" s="58"/>
      <c r="C49" s="57"/>
      <c r="D49" s="57"/>
      <c r="E49" s="156"/>
      <c r="F49" s="57"/>
      <c r="G49" s="90"/>
      <c r="H49" s="90"/>
    </row>
    <row r="50">
      <c r="A50" s="67"/>
      <c r="B50" s="67"/>
      <c r="C50" s="66"/>
      <c r="D50" s="66"/>
      <c r="E50" s="155"/>
      <c r="F50" s="66"/>
      <c r="G50" s="89"/>
      <c r="H50" s="89"/>
    </row>
    <row r="51">
      <c r="A51" s="93"/>
      <c r="B51" s="93"/>
      <c r="C51" s="92"/>
      <c r="D51" s="92"/>
      <c r="E51" s="157"/>
      <c r="F51" s="92"/>
      <c r="G51" s="158"/>
      <c r="H51" s="158"/>
    </row>
    <row r="52">
      <c r="A52" s="165" t="s">
        <v>138</v>
      </c>
      <c r="B52" s="165" t="s">
        <v>139</v>
      </c>
      <c r="C52" s="160" t="s">
        <v>140</v>
      </c>
      <c r="D52" s="161">
        <v>1650.0</v>
      </c>
      <c r="E52" s="162"/>
      <c r="F52" s="160" t="s">
        <v>141</v>
      </c>
      <c r="G52" s="163"/>
      <c r="H52" s="163"/>
    </row>
    <row r="53">
      <c r="A53" s="58"/>
      <c r="B53" s="58"/>
      <c r="C53" s="57"/>
      <c r="D53" s="57"/>
      <c r="E53" s="146"/>
      <c r="F53" s="57"/>
      <c r="G53" s="147"/>
      <c r="H53" s="147"/>
    </row>
    <row r="54">
      <c r="A54" s="67"/>
      <c r="B54" s="67"/>
      <c r="C54" s="66"/>
      <c r="D54" s="66"/>
      <c r="E54" s="146"/>
      <c r="F54" s="66"/>
      <c r="G54" s="147"/>
      <c r="H54" s="147">
        <v>1528.14</v>
      </c>
    </row>
    <row r="55">
      <c r="A55" s="58"/>
      <c r="B55" s="58"/>
      <c r="C55" s="57"/>
      <c r="D55" s="57"/>
      <c r="E55" s="146"/>
      <c r="F55" s="57"/>
      <c r="G55" s="147"/>
      <c r="H55" s="147"/>
    </row>
    <row r="56">
      <c r="A56" s="74"/>
      <c r="B56" s="74"/>
      <c r="C56" s="73"/>
      <c r="D56" s="73"/>
      <c r="E56" s="148"/>
      <c r="F56" s="73"/>
      <c r="G56" s="149"/>
      <c r="H56" s="149"/>
    </row>
    <row r="57">
      <c r="A57" s="150" t="s">
        <v>142</v>
      </c>
      <c r="B57" s="150" t="s">
        <v>143</v>
      </c>
      <c r="C57" s="164" t="s">
        <v>144</v>
      </c>
      <c r="D57" s="152">
        <v>3068.0</v>
      </c>
      <c r="E57" s="153" t="s">
        <v>145</v>
      </c>
      <c r="F57" s="151" t="s">
        <v>146</v>
      </c>
      <c r="G57" s="154"/>
      <c r="H57" s="154"/>
    </row>
    <row r="58">
      <c r="A58" s="67"/>
      <c r="B58" s="67"/>
      <c r="C58" s="66"/>
      <c r="D58" s="66"/>
      <c r="E58" s="155" t="s">
        <v>147</v>
      </c>
      <c r="F58" s="66"/>
      <c r="G58" s="89"/>
      <c r="H58" s="89"/>
    </row>
    <row r="59">
      <c r="A59" s="58"/>
      <c r="B59" s="58"/>
      <c r="C59" s="57"/>
      <c r="D59" s="57"/>
      <c r="E59" s="156" t="s">
        <v>148</v>
      </c>
      <c r="F59" s="57"/>
      <c r="G59" s="90" t="s">
        <v>149</v>
      </c>
      <c r="H59" s="90">
        <v>2793.75</v>
      </c>
    </row>
    <row r="60">
      <c r="A60" s="67"/>
      <c r="B60" s="67"/>
      <c r="C60" s="66"/>
      <c r="D60" s="66"/>
      <c r="E60" s="155" t="s">
        <v>150</v>
      </c>
      <c r="F60" s="66"/>
      <c r="G60" s="89"/>
      <c r="H60" s="89"/>
    </row>
    <row r="61">
      <c r="A61" s="93"/>
      <c r="B61" s="93"/>
      <c r="C61" s="92"/>
      <c r="D61" s="92"/>
      <c r="E61" s="157"/>
      <c r="F61" s="92"/>
      <c r="G61" s="158"/>
      <c r="H61" s="158"/>
    </row>
    <row r="62">
      <c r="A62" s="165" t="s">
        <v>151</v>
      </c>
      <c r="B62" s="165" t="s">
        <v>152</v>
      </c>
      <c r="C62" s="160" t="s">
        <v>153</v>
      </c>
      <c r="D62" s="161">
        <v>2050.0</v>
      </c>
      <c r="E62" s="162"/>
      <c r="F62" s="160" t="s">
        <v>135</v>
      </c>
      <c r="G62" s="163"/>
      <c r="H62" s="163"/>
    </row>
    <row r="63">
      <c r="A63" s="58"/>
      <c r="B63" s="58"/>
      <c r="C63" s="57"/>
      <c r="D63" s="57"/>
      <c r="E63" s="146"/>
      <c r="F63" s="57"/>
      <c r="G63" s="147"/>
      <c r="H63" s="147"/>
    </row>
    <row r="64">
      <c r="A64" s="67"/>
      <c r="B64" s="67"/>
      <c r="C64" s="66"/>
      <c r="D64" s="66"/>
      <c r="E64" s="146" t="s">
        <v>154</v>
      </c>
      <c r="F64" s="66"/>
      <c r="G64" s="147" t="s">
        <v>155</v>
      </c>
      <c r="H64" s="147">
        <v>1800.9</v>
      </c>
    </row>
    <row r="65">
      <c r="A65" s="58"/>
      <c r="B65" s="58"/>
      <c r="C65" s="57"/>
      <c r="D65" s="57"/>
      <c r="E65" s="146"/>
      <c r="F65" s="57"/>
      <c r="G65" s="147"/>
      <c r="H65" s="147"/>
    </row>
    <row r="66">
      <c r="A66" s="74"/>
      <c r="B66" s="74"/>
      <c r="C66" s="73"/>
      <c r="D66" s="73"/>
      <c r="E66" s="148"/>
      <c r="F66" s="73"/>
      <c r="G66" s="149"/>
      <c r="H66" s="149"/>
    </row>
    <row r="67">
      <c r="A67" s="150" t="s">
        <v>156</v>
      </c>
      <c r="B67" s="150" t="s">
        <v>157</v>
      </c>
      <c r="C67" s="164" t="s">
        <v>158</v>
      </c>
      <c r="D67" s="167">
        <v>570.0</v>
      </c>
      <c r="E67" s="153"/>
      <c r="F67" s="151" t="s">
        <v>135</v>
      </c>
      <c r="G67" s="154"/>
      <c r="H67" s="154"/>
    </row>
    <row r="68">
      <c r="A68" s="67"/>
      <c r="B68" s="67"/>
      <c r="C68" s="66"/>
      <c r="D68" s="66"/>
      <c r="E68" s="155"/>
      <c r="F68" s="66"/>
      <c r="G68" s="89"/>
      <c r="H68" s="89"/>
    </row>
    <row r="69">
      <c r="A69" s="58"/>
      <c r="B69" s="58"/>
      <c r="C69" s="57"/>
      <c r="D69" s="57"/>
      <c r="E69" s="156" t="s">
        <v>159</v>
      </c>
      <c r="F69" s="57"/>
      <c r="G69" s="90" t="s">
        <v>160</v>
      </c>
      <c r="H69" s="90">
        <v>495.9</v>
      </c>
    </row>
    <row r="70">
      <c r="A70" s="67"/>
      <c r="B70" s="67"/>
      <c r="C70" s="66"/>
      <c r="D70" s="66"/>
      <c r="E70" s="155"/>
      <c r="F70" s="66"/>
      <c r="G70" s="89"/>
      <c r="H70" s="89"/>
    </row>
    <row r="71">
      <c r="A71" s="93"/>
      <c r="B71" s="93"/>
      <c r="C71" s="92"/>
      <c r="D71" s="92"/>
      <c r="E71" s="157"/>
      <c r="F71" s="92"/>
      <c r="G71" s="158"/>
      <c r="H71" s="158"/>
    </row>
    <row r="72">
      <c r="A72" s="165" t="s">
        <v>161</v>
      </c>
      <c r="B72" s="165" t="s">
        <v>124</v>
      </c>
      <c r="C72" s="166" t="s">
        <v>162</v>
      </c>
      <c r="D72" s="161">
        <v>1112.0</v>
      </c>
      <c r="E72" s="162"/>
      <c r="F72" s="160" t="s">
        <v>163</v>
      </c>
      <c r="G72" s="147" t="s">
        <v>164</v>
      </c>
      <c r="H72" s="163"/>
    </row>
    <row r="73">
      <c r="A73" s="58"/>
      <c r="B73" s="58"/>
      <c r="C73" s="57"/>
      <c r="D73" s="57"/>
      <c r="E73" s="146" t="s">
        <v>165</v>
      </c>
      <c r="F73" s="57"/>
      <c r="G73" s="147" t="s">
        <v>166</v>
      </c>
      <c r="H73" s="147">
        <v>967.44</v>
      </c>
    </row>
    <row r="74">
      <c r="A74" s="67"/>
      <c r="B74" s="67"/>
      <c r="C74" s="66"/>
      <c r="D74" s="66"/>
      <c r="E74" s="146" t="s">
        <v>167</v>
      </c>
      <c r="F74" s="66"/>
      <c r="G74" s="147"/>
      <c r="H74" s="147"/>
    </row>
    <row r="75">
      <c r="A75" s="58"/>
      <c r="B75" s="58"/>
      <c r="C75" s="57"/>
      <c r="D75" s="57"/>
      <c r="E75" s="146"/>
      <c r="F75" s="57"/>
      <c r="G75" s="147"/>
      <c r="H75" s="147"/>
    </row>
    <row r="76">
      <c r="A76" s="74"/>
      <c r="B76" s="74"/>
      <c r="C76" s="73"/>
      <c r="D76" s="73"/>
      <c r="E76" s="148"/>
      <c r="F76" s="73"/>
      <c r="G76" s="149"/>
      <c r="H76" s="149"/>
    </row>
    <row r="77">
      <c r="A77" s="150" t="s">
        <v>168</v>
      </c>
      <c r="B77" s="150" t="s">
        <v>169</v>
      </c>
      <c r="C77" s="164" t="s">
        <v>170</v>
      </c>
      <c r="D77" s="152">
        <v>2246.0</v>
      </c>
      <c r="E77" s="153"/>
      <c r="F77" s="151" t="s">
        <v>101</v>
      </c>
      <c r="G77" s="158" t="s">
        <v>171</v>
      </c>
      <c r="H77" s="82"/>
    </row>
    <row r="78">
      <c r="A78" s="67"/>
      <c r="B78" s="67"/>
      <c r="C78" s="66"/>
      <c r="D78" s="66"/>
      <c r="E78" s="155"/>
      <c r="F78" s="66"/>
      <c r="G78" s="68"/>
      <c r="H78" s="68"/>
    </row>
    <row r="79">
      <c r="A79" s="58"/>
      <c r="B79" s="58"/>
      <c r="C79" s="57"/>
      <c r="D79" s="57"/>
      <c r="E79" s="156"/>
      <c r="F79" s="57"/>
      <c r="G79" s="94"/>
      <c r="H79" s="94"/>
    </row>
    <row r="80">
      <c r="A80" s="67"/>
      <c r="B80" s="67"/>
      <c r="C80" s="66"/>
      <c r="D80" s="66"/>
      <c r="E80" s="155" t="s">
        <v>172</v>
      </c>
      <c r="F80" s="66"/>
      <c r="G80" s="89" t="s">
        <v>173</v>
      </c>
      <c r="H80" s="89">
        <v>2040.88</v>
      </c>
    </row>
    <row r="81">
      <c r="A81" s="93"/>
      <c r="B81" s="93"/>
      <c r="C81" s="92"/>
      <c r="D81" s="92"/>
      <c r="E81" s="157"/>
      <c r="F81" s="57"/>
      <c r="G81" s="158"/>
      <c r="H81" s="158"/>
    </row>
    <row r="82">
      <c r="A82" s="165" t="s">
        <v>174</v>
      </c>
      <c r="B82" s="165" t="s">
        <v>175</v>
      </c>
      <c r="C82" s="166" t="s">
        <v>176</v>
      </c>
      <c r="D82" s="161">
        <v>4300.0</v>
      </c>
      <c r="E82" s="162"/>
      <c r="F82" s="166" t="s">
        <v>177</v>
      </c>
      <c r="G82" s="163"/>
      <c r="H82" s="163"/>
    </row>
    <row r="83">
      <c r="A83" s="58"/>
      <c r="B83" s="58"/>
      <c r="C83" s="57"/>
      <c r="D83" s="57"/>
      <c r="E83" s="146"/>
      <c r="F83" s="57"/>
      <c r="G83" s="147" t="s">
        <v>178</v>
      </c>
      <c r="H83" s="147"/>
    </row>
    <row r="84">
      <c r="A84" s="67"/>
      <c r="B84" s="67"/>
      <c r="C84" s="66"/>
      <c r="D84" s="66"/>
      <c r="E84" s="146" t="s">
        <v>179</v>
      </c>
      <c r="F84" s="66"/>
      <c r="G84" s="147" t="s">
        <v>180</v>
      </c>
      <c r="H84" s="147">
        <v>4190.0</v>
      </c>
    </row>
    <row r="85">
      <c r="A85" s="58"/>
      <c r="B85" s="58"/>
      <c r="C85" s="57"/>
      <c r="D85" s="57"/>
      <c r="E85" s="146"/>
      <c r="F85" s="57"/>
      <c r="G85" s="147"/>
      <c r="H85" s="147"/>
    </row>
    <row r="86">
      <c r="A86" s="74"/>
      <c r="B86" s="74"/>
      <c r="C86" s="73"/>
      <c r="D86" s="73"/>
      <c r="E86" s="148"/>
      <c r="F86" s="73"/>
      <c r="G86" s="149"/>
      <c r="H86" s="149"/>
    </row>
    <row r="87">
      <c r="A87" s="150" t="s">
        <v>181</v>
      </c>
      <c r="B87" s="150" t="s">
        <v>182</v>
      </c>
      <c r="C87" s="164" t="s">
        <v>183</v>
      </c>
      <c r="D87" s="167">
        <v>780.0</v>
      </c>
      <c r="E87" s="153"/>
      <c r="F87" s="151" t="s">
        <v>135</v>
      </c>
      <c r="G87" s="154"/>
      <c r="H87" s="154"/>
    </row>
    <row r="88">
      <c r="A88" s="67"/>
      <c r="B88" s="67"/>
      <c r="C88" s="66"/>
      <c r="D88" s="66"/>
      <c r="E88" s="155"/>
      <c r="F88" s="66"/>
      <c r="G88" s="89"/>
      <c r="H88" s="89"/>
    </row>
    <row r="89">
      <c r="A89" s="58"/>
      <c r="B89" s="58"/>
      <c r="C89" s="57"/>
      <c r="D89" s="57"/>
      <c r="E89" s="156" t="s">
        <v>184</v>
      </c>
      <c r="F89" s="57"/>
      <c r="G89" s="90" t="s">
        <v>185</v>
      </c>
      <c r="H89" s="90">
        <v>687.3</v>
      </c>
    </row>
    <row r="90">
      <c r="A90" s="67"/>
      <c r="B90" s="67"/>
      <c r="C90" s="66"/>
      <c r="D90" s="66"/>
      <c r="E90" s="155"/>
      <c r="F90" s="66"/>
      <c r="G90" s="89"/>
      <c r="H90" s="89"/>
    </row>
    <row r="91">
      <c r="A91" s="93"/>
      <c r="B91" s="93"/>
      <c r="C91" s="92"/>
      <c r="D91" s="92"/>
      <c r="E91" s="157"/>
      <c r="F91" s="92"/>
      <c r="G91" s="158"/>
      <c r="H91" s="158"/>
    </row>
    <row r="92">
      <c r="A92" s="165" t="s">
        <v>186</v>
      </c>
      <c r="B92" s="165" t="s">
        <v>187</v>
      </c>
      <c r="C92" s="166" t="s">
        <v>188</v>
      </c>
      <c r="D92" s="161">
        <v>74.0</v>
      </c>
      <c r="E92" s="162"/>
      <c r="F92" s="160" t="s">
        <v>135</v>
      </c>
      <c r="G92" s="163"/>
      <c r="H92" s="163"/>
    </row>
    <row r="93">
      <c r="A93" s="58"/>
      <c r="B93" s="58"/>
      <c r="C93" s="57"/>
      <c r="D93" s="57"/>
      <c r="E93" s="146"/>
      <c r="F93" s="57"/>
      <c r="G93" s="147"/>
      <c r="H93" s="147"/>
    </row>
    <row r="94">
      <c r="A94" s="67"/>
      <c r="B94" s="67"/>
      <c r="C94" s="66"/>
      <c r="D94" s="66"/>
      <c r="E94" s="146" t="s">
        <v>189</v>
      </c>
      <c r="F94" s="66"/>
      <c r="G94" s="147"/>
      <c r="H94" s="147">
        <v>65.03</v>
      </c>
    </row>
    <row r="95">
      <c r="A95" s="58"/>
      <c r="B95" s="58"/>
      <c r="C95" s="57"/>
      <c r="D95" s="57"/>
      <c r="E95" s="146"/>
      <c r="F95" s="57"/>
      <c r="G95" s="147"/>
      <c r="H95" s="147"/>
    </row>
    <row r="96">
      <c r="A96" s="74"/>
      <c r="B96" s="74"/>
      <c r="C96" s="73"/>
      <c r="D96" s="73"/>
      <c r="E96" s="148"/>
      <c r="F96" s="73"/>
      <c r="G96" s="149"/>
      <c r="H96" s="149"/>
    </row>
    <row r="97">
      <c r="A97" s="150" t="s">
        <v>190</v>
      </c>
      <c r="B97" s="150" t="s">
        <v>191</v>
      </c>
      <c r="C97" s="151" t="s">
        <v>192</v>
      </c>
      <c r="D97" s="167">
        <v>37.9</v>
      </c>
      <c r="E97" s="153"/>
      <c r="F97" s="151" t="s">
        <v>193</v>
      </c>
      <c r="G97" s="82" t="s">
        <v>194</v>
      </c>
      <c r="H97" s="154" t="s">
        <v>195</v>
      </c>
    </row>
    <row r="98">
      <c r="A98" s="67"/>
      <c r="B98" s="67"/>
      <c r="C98" s="66"/>
      <c r="D98" s="66"/>
      <c r="E98" s="155"/>
      <c r="F98" s="66"/>
      <c r="G98" s="75"/>
      <c r="H98" s="89" t="s">
        <v>196</v>
      </c>
    </row>
    <row r="99">
      <c r="A99" s="58"/>
      <c r="B99" s="58"/>
      <c r="C99" s="57"/>
      <c r="D99" s="57"/>
      <c r="E99" s="156" t="s">
        <v>197</v>
      </c>
      <c r="F99" s="151" t="s">
        <v>198</v>
      </c>
      <c r="G99" s="90" t="s">
        <v>199</v>
      </c>
      <c r="H99" s="90"/>
    </row>
    <row r="100">
      <c r="A100" s="67"/>
      <c r="B100" s="67"/>
      <c r="C100" s="66"/>
      <c r="D100" s="66"/>
      <c r="E100" s="155"/>
      <c r="F100" s="168"/>
      <c r="G100" s="89"/>
      <c r="H100" s="89"/>
    </row>
    <row r="101">
      <c r="A101" s="93"/>
      <c r="B101" s="93"/>
      <c r="C101" s="92"/>
      <c r="D101" s="92"/>
      <c r="E101" s="157"/>
      <c r="F101" s="169"/>
      <c r="G101" s="158"/>
      <c r="H101" s="158"/>
    </row>
    <row r="102">
      <c r="A102" s="170" t="s">
        <v>200</v>
      </c>
      <c r="B102" s="170" t="s">
        <v>201</v>
      </c>
      <c r="C102" s="170" t="s">
        <v>202</v>
      </c>
      <c r="D102" s="170">
        <v>1465.0</v>
      </c>
      <c r="E102" s="171"/>
      <c r="F102" s="172" t="s">
        <v>203</v>
      </c>
      <c r="G102" s="172">
        <v>622.0</v>
      </c>
      <c r="H102" s="172" t="s">
        <v>204</v>
      </c>
    </row>
    <row r="103">
      <c r="A103" s="59"/>
      <c r="B103" s="59"/>
      <c r="C103" s="59"/>
      <c r="D103" s="59"/>
      <c r="E103" s="156" t="s">
        <v>205</v>
      </c>
      <c r="F103" s="90" t="s">
        <v>206</v>
      </c>
      <c r="G103" s="90">
        <v>616.0</v>
      </c>
      <c r="H103" s="90" t="s">
        <v>207</v>
      </c>
    </row>
    <row r="104">
      <c r="A104" s="68"/>
      <c r="B104" s="68"/>
      <c r="C104" s="68"/>
      <c r="D104" s="68"/>
      <c r="E104" s="155"/>
      <c r="F104" s="89" t="s">
        <v>208</v>
      </c>
      <c r="G104" s="89">
        <v>34.96</v>
      </c>
      <c r="H104" s="89" t="s">
        <v>209</v>
      </c>
    </row>
    <row r="105">
      <c r="A105" s="59"/>
      <c r="B105" s="59"/>
      <c r="C105" s="59"/>
      <c r="D105" s="59"/>
      <c r="E105" s="156"/>
      <c r="F105" s="90"/>
      <c r="G105" s="90"/>
      <c r="H105" s="90"/>
    </row>
    <row r="106">
      <c r="A106" s="76"/>
      <c r="B106" s="76"/>
      <c r="C106" s="75"/>
      <c r="D106" s="75"/>
      <c r="E106" s="173"/>
      <c r="F106" s="48"/>
      <c r="G106" s="48"/>
      <c r="H106" s="48"/>
    </row>
    <row r="107">
      <c r="A107" s="174" t="s">
        <v>210</v>
      </c>
      <c r="B107" s="174" t="s">
        <v>211</v>
      </c>
      <c r="C107" s="174" t="s">
        <v>212</v>
      </c>
      <c r="D107" s="174">
        <v>1170.0</v>
      </c>
      <c r="E107" s="175"/>
      <c r="F107" s="176" t="s">
        <v>121</v>
      </c>
      <c r="G107" s="177" t="s">
        <v>213</v>
      </c>
      <c r="H107" s="176">
        <v>510.3</v>
      </c>
    </row>
    <row r="108">
      <c r="A108" s="68"/>
      <c r="B108" s="68"/>
      <c r="C108" s="68"/>
      <c r="D108" s="68"/>
      <c r="E108" s="178" t="s">
        <v>214</v>
      </c>
      <c r="F108" s="179" t="s">
        <v>206</v>
      </c>
      <c r="G108" s="180" t="s">
        <v>215</v>
      </c>
      <c r="H108" s="179">
        <v>388.0</v>
      </c>
    </row>
    <row r="109">
      <c r="A109" s="59"/>
      <c r="B109" s="59"/>
      <c r="C109" s="59"/>
      <c r="D109" s="59"/>
      <c r="E109" s="178"/>
      <c r="F109" s="181"/>
      <c r="G109" s="181"/>
      <c r="H109" s="181"/>
    </row>
    <row r="110">
      <c r="A110" s="68"/>
      <c r="B110" s="68"/>
      <c r="C110" s="68"/>
      <c r="D110" s="68"/>
      <c r="E110" s="178"/>
      <c r="F110" s="181"/>
      <c r="G110" s="181"/>
      <c r="H110" s="181"/>
    </row>
    <row r="111">
      <c r="A111" s="95"/>
      <c r="B111" s="95"/>
      <c r="C111" s="94"/>
      <c r="D111" s="94"/>
      <c r="E111" s="182"/>
      <c r="F111" s="183"/>
      <c r="G111" s="183"/>
      <c r="H111" s="183"/>
    </row>
    <row r="112">
      <c r="A112" s="170" t="s">
        <v>216</v>
      </c>
      <c r="B112" s="170" t="s">
        <v>211</v>
      </c>
      <c r="C112" s="170" t="s">
        <v>217</v>
      </c>
      <c r="D112" s="170">
        <v>1380.0</v>
      </c>
      <c r="E112" s="171"/>
      <c r="F112" s="184" t="s">
        <v>218</v>
      </c>
      <c r="G112" s="172" t="s">
        <v>219</v>
      </c>
      <c r="H112" s="184">
        <v>445.42</v>
      </c>
    </row>
    <row r="113">
      <c r="A113" s="59"/>
      <c r="B113" s="59"/>
      <c r="C113" s="59"/>
      <c r="D113" s="59"/>
      <c r="E113" s="156" t="s">
        <v>220</v>
      </c>
      <c r="F113" s="185" t="s">
        <v>206</v>
      </c>
      <c r="G113" s="90" t="s">
        <v>221</v>
      </c>
      <c r="H113" s="185">
        <v>623.0</v>
      </c>
    </row>
    <row r="114">
      <c r="A114" s="68"/>
      <c r="B114" s="68"/>
      <c r="C114" s="68"/>
      <c r="D114" s="68"/>
      <c r="E114" s="155"/>
      <c r="F114" s="89"/>
      <c r="G114" s="89"/>
      <c r="H114" s="89"/>
    </row>
    <row r="115">
      <c r="A115" s="59"/>
      <c r="B115" s="59"/>
      <c r="C115" s="59"/>
      <c r="D115" s="59"/>
      <c r="E115" s="156"/>
      <c r="F115" s="90"/>
      <c r="G115" s="90"/>
      <c r="H115" s="90"/>
    </row>
    <row r="116">
      <c r="A116" s="76"/>
      <c r="B116" s="76"/>
      <c r="C116" s="75"/>
      <c r="D116" s="75"/>
      <c r="E116" s="173"/>
      <c r="F116" s="48"/>
      <c r="G116" s="48"/>
      <c r="H116" s="48"/>
    </row>
    <row r="117">
      <c r="A117" s="174"/>
      <c r="B117" s="174"/>
      <c r="C117" s="174"/>
      <c r="D117" s="174"/>
      <c r="E117" s="175"/>
      <c r="F117" s="176"/>
      <c r="G117" s="186"/>
      <c r="H117" s="176"/>
    </row>
    <row r="118">
      <c r="A118" s="68"/>
      <c r="B118" s="68"/>
      <c r="C118" s="68"/>
      <c r="D118" s="68"/>
      <c r="E118" s="178"/>
      <c r="F118" s="179"/>
      <c r="G118" s="181"/>
      <c r="H118" s="179"/>
    </row>
    <row r="119">
      <c r="A119" s="59"/>
      <c r="B119" s="59"/>
      <c r="C119" s="59"/>
      <c r="D119" s="59"/>
      <c r="E119" s="178"/>
      <c r="F119" s="185"/>
      <c r="G119" s="181"/>
      <c r="H119" s="185"/>
    </row>
    <row r="120">
      <c r="A120" s="68"/>
      <c r="B120" s="68"/>
      <c r="C120" s="68"/>
      <c r="D120" s="68"/>
      <c r="E120" s="178"/>
      <c r="F120" s="181"/>
      <c r="G120" s="181"/>
      <c r="H120" s="181"/>
    </row>
    <row r="121">
      <c r="A121" s="95"/>
      <c r="B121" s="95"/>
      <c r="C121" s="94"/>
      <c r="D121" s="94"/>
      <c r="E121" s="182"/>
      <c r="F121" s="183"/>
      <c r="G121" s="183"/>
      <c r="H121" s="183"/>
    </row>
  </sheetData>
  <mergeCells count="120">
    <mergeCell ref="A12:A16"/>
    <mergeCell ref="B12:B16"/>
    <mergeCell ref="A17:A21"/>
    <mergeCell ref="B17:B21"/>
    <mergeCell ref="A22:A26"/>
    <mergeCell ref="B22:B26"/>
    <mergeCell ref="B27:B31"/>
    <mergeCell ref="C12:C16"/>
    <mergeCell ref="D12:D16"/>
    <mergeCell ref="C17:C21"/>
    <mergeCell ref="D17:D21"/>
    <mergeCell ref="C22:C26"/>
    <mergeCell ref="D22:D26"/>
    <mergeCell ref="D27:D31"/>
    <mergeCell ref="A27:A31"/>
    <mergeCell ref="A32:A36"/>
    <mergeCell ref="A37:A41"/>
    <mergeCell ref="A42:A46"/>
    <mergeCell ref="A47:A51"/>
    <mergeCell ref="A52:A56"/>
    <mergeCell ref="A57:A61"/>
    <mergeCell ref="A97:A101"/>
    <mergeCell ref="A102:A106"/>
    <mergeCell ref="A107:A111"/>
    <mergeCell ref="A112:A116"/>
    <mergeCell ref="A117:A121"/>
    <mergeCell ref="A62:A66"/>
    <mergeCell ref="A67:A71"/>
    <mergeCell ref="A72:A76"/>
    <mergeCell ref="A77:A81"/>
    <mergeCell ref="A82:A86"/>
    <mergeCell ref="A87:A91"/>
    <mergeCell ref="A92:A96"/>
    <mergeCell ref="B32:B36"/>
    <mergeCell ref="B37:B41"/>
    <mergeCell ref="B42:B46"/>
    <mergeCell ref="B47:B51"/>
    <mergeCell ref="B52:B56"/>
    <mergeCell ref="B57:B61"/>
    <mergeCell ref="B62:B66"/>
    <mergeCell ref="B102:B106"/>
    <mergeCell ref="B107:B111"/>
    <mergeCell ref="B112:B116"/>
    <mergeCell ref="B117:B121"/>
    <mergeCell ref="B67:B71"/>
    <mergeCell ref="B72:B76"/>
    <mergeCell ref="B77:B81"/>
    <mergeCell ref="B82:B86"/>
    <mergeCell ref="B87:B91"/>
    <mergeCell ref="B92:B96"/>
    <mergeCell ref="B97:B101"/>
    <mergeCell ref="F2:F6"/>
    <mergeCell ref="F7:F11"/>
    <mergeCell ref="F17:F21"/>
    <mergeCell ref="F22:F26"/>
    <mergeCell ref="F27:F31"/>
    <mergeCell ref="F32:F36"/>
    <mergeCell ref="F37:F41"/>
    <mergeCell ref="F42:F46"/>
    <mergeCell ref="F47:F51"/>
    <mergeCell ref="F52:F56"/>
    <mergeCell ref="F57:F61"/>
    <mergeCell ref="F62:F66"/>
    <mergeCell ref="F67:F71"/>
    <mergeCell ref="F72:F76"/>
    <mergeCell ref="D32:D36"/>
    <mergeCell ref="D37:D41"/>
    <mergeCell ref="D42:D46"/>
    <mergeCell ref="D47:D51"/>
    <mergeCell ref="D52:D56"/>
    <mergeCell ref="D57:D61"/>
    <mergeCell ref="D62:D66"/>
    <mergeCell ref="D67:D71"/>
    <mergeCell ref="D72:D76"/>
    <mergeCell ref="D77:D81"/>
    <mergeCell ref="D82:D86"/>
    <mergeCell ref="D87:D91"/>
    <mergeCell ref="D92:D96"/>
    <mergeCell ref="D97:D101"/>
    <mergeCell ref="B7:B11"/>
    <mergeCell ref="C7:C11"/>
    <mergeCell ref="A2:A6"/>
    <mergeCell ref="B2:B6"/>
    <mergeCell ref="C2:C6"/>
    <mergeCell ref="D2:D6"/>
    <mergeCell ref="G2:G16"/>
    <mergeCell ref="A7:A11"/>
    <mergeCell ref="D7:D11"/>
    <mergeCell ref="F12:F16"/>
    <mergeCell ref="C27:C31"/>
    <mergeCell ref="C32:C36"/>
    <mergeCell ref="C37:C41"/>
    <mergeCell ref="C42:C46"/>
    <mergeCell ref="C47:C51"/>
    <mergeCell ref="C52:C56"/>
    <mergeCell ref="C57:C61"/>
    <mergeCell ref="F77:F81"/>
    <mergeCell ref="G77:G79"/>
    <mergeCell ref="H77:H79"/>
    <mergeCell ref="F82:F86"/>
    <mergeCell ref="F87:F91"/>
    <mergeCell ref="F92:F96"/>
    <mergeCell ref="F97:F98"/>
    <mergeCell ref="G97:G98"/>
    <mergeCell ref="C97:C101"/>
    <mergeCell ref="C102:C106"/>
    <mergeCell ref="C107:C111"/>
    <mergeCell ref="C112:C116"/>
    <mergeCell ref="C117:C121"/>
    <mergeCell ref="C62:C66"/>
    <mergeCell ref="C67:C71"/>
    <mergeCell ref="C72:C76"/>
    <mergeCell ref="C77:C81"/>
    <mergeCell ref="C82:C86"/>
    <mergeCell ref="C87:C91"/>
    <mergeCell ref="C92:C96"/>
    <mergeCell ref="D102:D106"/>
    <mergeCell ref="D107:D111"/>
    <mergeCell ref="D112:D116"/>
    <mergeCell ref="D117:D121"/>
  </mergeCells>
  <drawing r:id="rId1"/>
</worksheet>
</file>